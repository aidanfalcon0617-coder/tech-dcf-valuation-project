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M" sheetId="2" state="visible" r:id="rId2"/>
    <sheet name="ADBE" sheetId="3" state="visible" r:id="rId3"/>
    <sheet name="NOW" sheetId="4" state="visible" r:id="rId4"/>
    <sheet name="WDAY" sheetId="5" state="visible" r:id="rId5"/>
    <sheet name="HUBS" sheetId="6" state="visible" r:id="rId6"/>
    <sheet name="TEAM" sheetId="7" state="visible" r:id="rId7"/>
    <sheet name="DDOG" sheetId="8" state="visible" r:id="rId8"/>
    <sheet name="SNOW" sheetId="9" state="visible" r:id="rId9"/>
    <sheet name="ZS" sheetId="10" state="visible" r:id="rId10"/>
    <sheet name="CRW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$#,##0.00"/>
  </numFmts>
  <fonts count="8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  <font>
      <b val="1"/>
      <color rgb="001F4E78"/>
      <sz val="10"/>
    </font>
    <font>
      <i val="1"/>
      <color rgb="00808080"/>
      <sz val="9"/>
    </font>
    <font>
      <b val="1"/>
      <sz val="10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3" fillId="0" borderId="1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166" fontId="6" fillId="3" borderId="0" pivotButton="0" quotePrefix="0" xfId="0"/>
    <xf numFmtId="166" fontId="2" fillId="0" borderId="0" pivotButton="0" quotePrefix="0" xfId="0"/>
    <xf numFmtId="166" fontId="4" fillId="2" borderId="0" pivotButton="0" quotePrefix="0" xfId="0"/>
    <xf numFmtId="3" fontId="4" fillId="2" borderId="0" pivotButton="0" quotePrefix="0" xfId="0"/>
    <xf numFmtId="164" fontId="6" fillId="3" borderId="0" pivotButton="0" quotePrefix="0" xfId="0"/>
    <xf numFmtId="0" fontId="0" fillId="0" borderId="1" pivotButton="0" quotePrefix="0" xfId="0"/>
    <xf numFmtId="164" fontId="4" fillId="2" borderId="0" pivotButton="0" quotePrefix="0" xfId="0"/>
    <xf numFmtId="0" fontId="2" fillId="0" borderId="0" applyAlignment="1" pivotButton="0" quotePrefix="0" xfId="0">
      <alignment horizontal="right"/>
    </xf>
    <xf numFmtId="165" fontId="2" fillId="0" borderId="0" pivotButton="0" quotePrefix="0" xfId="0"/>
    <xf numFmtId="3" fontId="6" fillId="3" borderId="0" pivotButton="0" quotePrefix="0" xfId="0"/>
    <xf numFmtId="0" fontId="7" fillId="0" borderId="0" pivotButton="0" quotePrefix="0" xfId="0"/>
    <xf numFmtId="164" fontId="3" fillId="0" borderId="0" applyAlignment="1" pivotButton="0" quotePrefix="0" xfId="0">
      <alignment horizontal="center"/>
    </xf>
    <xf numFmtId="164" fontId="3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Value/Share Sensitivity (Tornado)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'CRM'!D51</f>
            </strRef>
          </tx>
          <spPr>
            <a:noFill/>
            <a:ln>
              <a:prstDash val="solid"/>
            </a:ln>
          </spPr>
          <cat>
            <numRef>
              <f>'CRM'!$A$52:$A$53</f>
            </numRef>
          </cat>
          <val>
            <numRef>
              <f>'CRM'!$D$52:$D$53</f>
            </numRef>
          </val>
        </ser>
        <ser>
          <idx val="1"/>
          <order val="1"/>
          <tx>
            <strRef>
              <f>'CRM'!E51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'CRM'!$A$52:$A$53</f>
            </numRef>
          </cat>
          <val>
            <numRef>
              <f>'CRM'!$E$52:$E$53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Implied value/share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Value/Share Sensitivity (Tornado)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'ADBE'!D51</f>
            </strRef>
          </tx>
          <spPr>
            <a:noFill/>
            <a:ln>
              <a:prstDash val="solid"/>
            </a:ln>
          </spPr>
          <cat>
            <numRef>
              <f>'ADBE'!$A$52:$A$53</f>
            </numRef>
          </cat>
          <val>
            <numRef>
              <f>'ADBE'!$D$52:$D$53</f>
            </numRef>
          </val>
        </ser>
        <ser>
          <idx val="1"/>
          <order val="1"/>
          <tx>
            <strRef>
              <f>'ADBE'!E51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'ADBE'!$A$52:$A$53</f>
            </numRef>
          </cat>
          <val>
            <numRef>
              <f>'ADBE'!$E$52:$E$53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Implied value/share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Value/Share Sensitivity (Tornado)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'NOW'!D51</f>
            </strRef>
          </tx>
          <spPr>
            <a:noFill/>
            <a:ln>
              <a:prstDash val="solid"/>
            </a:ln>
          </spPr>
          <cat>
            <numRef>
              <f>'NOW'!$A$52:$A$53</f>
            </numRef>
          </cat>
          <val>
            <numRef>
              <f>'NOW'!$D$52:$D$53</f>
            </numRef>
          </val>
        </ser>
        <ser>
          <idx val="1"/>
          <order val="1"/>
          <tx>
            <strRef>
              <f>'NOW'!E51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'NOW'!$A$52:$A$53</f>
            </numRef>
          </cat>
          <val>
            <numRef>
              <f>'NOW'!$E$52:$E$53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Implied value/share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Value/Share Sensitivity (Tornado)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'WDAY'!D51</f>
            </strRef>
          </tx>
          <spPr>
            <a:noFill/>
            <a:ln>
              <a:prstDash val="solid"/>
            </a:ln>
          </spPr>
          <cat>
            <numRef>
              <f>'WDAY'!$A$52:$A$53</f>
            </numRef>
          </cat>
          <val>
            <numRef>
              <f>'WDAY'!$D$52:$D$53</f>
            </numRef>
          </val>
        </ser>
        <ser>
          <idx val="1"/>
          <order val="1"/>
          <tx>
            <strRef>
              <f>'WDAY'!E51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'WDAY'!$A$52:$A$53</f>
            </numRef>
          </cat>
          <val>
            <numRef>
              <f>'WDAY'!$E$52:$E$53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Implied value/share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Value/Share Sensitivity (Tornado)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'HUBS'!D51</f>
            </strRef>
          </tx>
          <spPr>
            <a:noFill/>
            <a:ln>
              <a:prstDash val="solid"/>
            </a:ln>
          </spPr>
          <cat>
            <numRef>
              <f>'HUBS'!$A$52:$A$53</f>
            </numRef>
          </cat>
          <val>
            <numRef>
              <f>'HUBS'!$D$52:$D$53</f>
            </numRef>
          </val>
        </ser>
        <ser>
          <idx val="1"/>
          <order val="1"/>
          <tx>
            <strRef>
              <f>'HUBS'!E51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'HUBS'!$A$52:$A$53</f>
            </numRef>
          </cat>
          <val>
            <numRef>
              <f>'HUBS'!$E$52:$E$53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Implied value/share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Value/Share Sensitivity (Tornado)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'TEAM'!D51</f>
            </strRef>
          </tx>
          <spPr>
            <a:noFill/>
            <a:ln>
              <a:prstDash val="solid"/>
            </a:ln>
          </spPr>
          <cat>
            <numRef>
              <f>'TEAM'!$A$52:$A$53</f>
            </numRef>
          </cat>
          <val>
            <numRef>
              <f>'TEAM'!$D$52:$D$53</f>
            </numRef>
          </val>
        </ser>
        <ser>
          <idx val="1"/>
          <order val="1"/>
          <tx>
            <strRef>
              <f>'TEAM'!E51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'TEAM'!$A$52:$A$53</f>
            </numRef>
          </cat>
          <val>
            <numRef>
              <f>'TEAM'!$E$52:$E$53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Implied value/share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Value/Share Sensitivity (Tornado)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'DDOG'!D51</f>
            </strRef>
          </tx>
          <spPr>
            <a:noFill/>
            <a:ln>
              <a:prstDash val="solid"/>
            </a:ln>
          </spPr>
          <cat>
            <numRef>
              <f>'DDOG'!$A$52:$A$53</f>
            </numRef>
          </cat>
          <val>
            <numRef>
              <f>'DDOG'!$D$52:$D$53</f>
            </numRef>
          </val>
        </ser>
        <ser>
          <idx val="1"/>
          <order val="1"/>
          <tx>
            <strRef>
              <f>'DDOG'!E51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'DDOG'!$A$52:$A$53</f>
            </numRef>
          </cat>
          <val>
            <numRef>
              <f>'DDOG'!$E$52:$E$53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Implied value/share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Value/Share Sensitivity (Tornado)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'SNOW'!D51</f>
            </strRef>
          </tx>
          <spPr>
            <a:noFill/>
            <a:ln>
              <a:prstDash val="solid"/>
            </a:ln>
          </spPr>
          <cat>
            <numRef>
              <f>'SNOW'!$A$52:$A$53</f>
            </numRef>
          </cat>
          <val>
            <numRef>
              <f>'SNOW'!$D$52:$D$53</f>
            </numRef>
          </val>
        </ser>
        <ser>
          <idx val="1"/>
          <order val="1"/>
          <tx>
            <strRef>
              <f>'SNOW'!E51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'SNOW'!$A$52:$A$53</f>
            </numRef>
          </cat>
          <val>
            <numRef>
              <f>'SNOW'!$E$52:$E$53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Implied value/share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Value/Share Sensitivity (Tornado)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'ZS'!D51</f>
            </strRef>
          </tx>
          <spPr>
            <a:noFill/>
            <a:ln>
              <a:prstDash val="solid"/>
            </a:ln>
          </spPr>
          <cat>
            <numRef>
              <f>'ZS'!$A$52:$A$53</f>
            </numRef>
          </cat>
          <val>
            <numRef>
              <f>'ZS'!$D$52:$D$53</f>
            </numRef>
          </val>
        </ser>
        <ser>
          <idx val="1"/>
          <order val="1"/>
          <tx>
            <strRef>
              <f>'ZS'!E51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'ZS'!$A$52:$A$53</f>
            </numRef>
          </cat>
          <val>
            <numRef>
              <f>'ZS'!$E$52:$E$53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Implied value/share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Value/Share Sensitivity (Tornado)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'CRWD'!D51</f>
            </strRef>
          </tx>
          <spPr>
            <a:noFill/>
            <a:ln>
              <a:prstDash val="solid"/>
            </a:ln>
          </spPr>
          <cat>
            <numRef>
              <f>'CRWD'!$A$52:$A$53</f>
            </numRef>
          </cat>
          <val>
            <numRef>
              <f>'CRWD'!$D$52:$D$53</f>
            </numRef>
          </val>
        </ser>
        <ser>
          <idx val="1"/>
          <order val="1"/>
          <tx>
            <strRef>
              <f>'CRWD'!E51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'CRWD'!$A$52:$A$53</f>
            </numRef>
          </cat>
          <val>
            <numRef>
              <f>'CRWD'!$E$52:$E$53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Implied value/share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57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57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57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57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57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57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57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57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57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57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6" customWidth="1" min="4" max="4"/>
    <col width="16" customWidth="1" min="5" max="5"/>
    <col width="22" customWidth="1" min="6" max="6"/>
    <col width="16" customWidth="1" min="7" max="7"/>
    <col width="16" customWidth="1" min="8" max="8"/>
    <col width="16" customWidth="1" min="9" max="9"/>
    <col width="22" customWidth="1" min="10" max="10"/>
    <col width="22" customWidth="1" min="11" max="11"/>
    <col width="16" customWidth="1" min="12" max="12"/>
    <col width="22" customWidth="1" min="13" max="13"/>
    <col width="16" customWidth="1" min="14" max="14"/>
    <col width="16" customWidth="1" min="15" max="15"/>
  </cols>
  <sheetData>
    <row r="1">
      <c r="A1" s="1" t="inlineStr">
        <is>
          <t>Tech DCF Valuation — Summary</t>
        </is>
      </c>
    </row>
    <row r="2">
      <c r="A2" s="2" t="inlineStr">
        <is>
          <t>Every column here is a live link into that company's own sheet — edit assumptions on a company tab and this table updates.</t>
        </is>
      </c>
    </row>
    <row r="3">
      <c r="A3" s="2" t="inlineStr">
        <is>
          <t>"Price (input)" / "Shares O/S" default to a market close snapshot from 2026-07-30 -- edit those two highlighted cells any time to re-run the comparison with a current quote.</t>
        </is>
      </c>
    </row>
    <row r="4">
      <c r="A4" s="3" t="inlineStr">
        <is>
          <t>Ticker</t>
        </is>
      </c>
      <c r="B4" s="3" t="inlineStr">
        <is>
          <t>Company</t>
        </is>
      </c>
      <c r="C4" s="3" t="inlineStr">
        <is>
          <t>WACC</t>
        </is>
      </c>
      <c r="D4" s="3" t="inlineStr">
        <is>
          <t>Terminal growth</t>
        </is>
      </c>
      <c r="E4" s="3" t="inlineStr">
        <is>
          <t>FY revenue ($M)</t>
        </is>
      </c>
      <c r="F4" s="3" t="inlineStr">
        <is>
          <t>Enterprise value ($M)</t>
        </is>
      </c>
      <c r="G4" s="3" t="inlineStr">
        <is>
          <t>Equity value ($M)</t>
        </is>
      </c>
      <c r="H4" s="3" t="inlineStr">
        <is>
          <t>Diluted shares (M)</t>
        </is>
      </c>
      <c r="I4" s="3" t="inlineStr">
        <is>
          <t>Implied value/share</t>
        </is>
      </c>
      <c r="J4" s="3" t="inlineStr">
        <is>
          <t>Low est. (12% WACC, 2% g)</t>
        </is>
      </c>
      <c r="K4" s="3" t="inlineStr">
        <is>
          <t>High est. (8% WACC, 4% g)</t>
        </is>
      </c>
      <c r="L4" s="3" t="inlineStr">
        <is>
          <t>Price (input)</t>
        </is>
      </c>
      <c r="M4" s="3" t="inlineStr">
        <is>
          <t>Shares O/S, M (input)</t>
        </is>
      </c>
      <c r="N4" s="3" t="inlineStr">
        <is>
          <t>Market cap ($M)</t>
        </is>
      </c>
      <c r="O4" s="3" t="inlineStr">
        <is>
          <t>DCF vs. market</t>
        </is>
      </c>
    </row>
    <row r="5">
      <c r="A5" s="4" t="inlineStr">
        <is>
          <t>CRM</t>
        </is>
      </c>
      <c r="B5" s="4" t="inlineStr">
        <is>
          <t>Salesforce, Inc.</t>
        </is>
      </c>
      <c r="C5" s="5">
        <f>'CRM'!B5</f>
        <v/>
      </c>
      <c r="D5" s="5">
        <f>'CRM'!B6</f>
        <v/>
      </c>
      <c r="E5" s="6">
        <f>'CRM'!F12</f>
        <v/>
      </c>
      <c r="F5" s="6">
        <f>'CRM'!B35</f>
        <v/>
      </c>
      <c r="G5" s="6">
        <f>'CRM'!B38</f>
        <v/>
      </c>
      <c r="H5" s="6">
        <f>'CRM'!B39</f>
        <v/>
      </c>
      <c r="I5" s="7">
        <f>'CRM'!B40</f>
        <v/>
      </c>
      <c r="J5" s="8">
        <f>'CRM'!C48</f>
        <v/>
      </c>
      <c r="K5" s="8">
        <f>'CRM'!G44</f>
        <v/>
      </c>
      <c r="L5" s="9" t="n">
        <v>180.71</v>
      </c>
      <c r="M5" s="10" t="n">
        <v>819</v>
      </c>
      <c r="N5" s="6">
        <f>L5*M5</f>
        <v/>
      </c>
      <c r="O5" s="11">
        <f>(G5-N5)/N5</f>
        <v/>
      </c>
    </row>
    <row r="6">
      <c r="A6" s="4" t="inlineStr">
        <is>
          <t>ADBE</t>
        </is>
      </c>
      <c r="B6" s="4" t="inlineStr">
        <is>
          <t>Adobe Inc.</t>
        </is>
      </c>
      <c r="C6" s="5">
        <f>'ADBE'!B5</f>
        <v/>
      </c>
      <c r="D6" s="5">
        <f>'ADBE'!B6</f>
        <v/>
      </c>
      <c r="E6" s="6">
        <f>'ADBE'!F12</f>
        <v/>
      </c>
      <c r="F6" s="6">
        <f>'ADBE'!B35</f>
        <v/>
      </c>
      <c r="G6" s="6">
        <f>'ADBE'!B38</f>
        <v/>
      </c>
      <c r="H6" s="6">
        <f>'ADBE'!B39</f>
        <v/>
      </c>
      <c r="I6" s="7">
        <f>'ADBE'!B40</f>
        <v/>
      </c>
      <c r="J6" s="8">
        <f>'ADBE'!C48</f>
        <v/>
      </c>
      <c r="K6" s="8">
        <f>'ADBE'!G44</f>
        <v/>
      </c>
      <c r="L6" s="9" t="n">
        <v>247.9</v>
      </c>
      <c r="M6" s="10" t="n">
        <v>397.5</v>
      </c>
      <c r="N6" s="6">
        <f>L6*M6</f>
        <v/>
      </c>
      <c r="O6" s="11">
        <f>(G6-N6)/N6</f>
        <v/>
      </c>
    </row>
    <row r="7">
      <c r="A7" s="4" t="inlineStr">
        <is>
          <t>NOW</t>
        </is>
      </c>
      <c r="B7" s="4" t="inlineStr">
        <is>
          <t>ServiceNow, Inc.</t>
        </is>
      </c>
      <c r="C7" s="5">
        <f>'NOW'!B5</f>
        <v/>
      </c>
      <c r="D7" s="5">
        <f>'NOW'!B6</f>
        <v/>
      </c>
      <c r="E7" s="6">
        <f>'NOW'!F12</f>
        <v/>
      </c>
      <c r="F7" s="6">
        <f>'NOW'!B35</f>
        <v/>
      </c>
      <c r="G7" s="6">
        <f>'NOW'!B38</f>
        <v/>
      </c>
      <c r="H7" s="6">
        <f>'NOW'!B39</f>
        <v/>
      </c>
      <c r="I7" s="7">
        <f>'NOW'!B40</f>
        <v/>
      </c>
      <c r="J7" s="8">
        <f>'NOW'!C48</f>
        <v/>
      </c>
      <c r="K7" s="8">
        <f>'NOW'!G44</f>
        <v/>
      </c>
      <c r="L7" s="9" t="n">
        <v>110.07</v>
      </c>
      <c r="M7" s="10" t="n">
        <v>1030</v>
      </c>
      <c r="N7" s="6">
        <f>L7*M7</f>
        <v/>
      </c>
      <c r="O7" s="11">
        <f>(G7-N7)/N7</f>
        <v/>
      </c>
    </row>
    <row r="8">
      <c r="A8" s="4" t="inlineStr">
        <is>
          <t>WDAY</t>
        </is>
      </c>
      <c r="B8" s="4" t="inlineStr">
        <is>
          <t>Workday, Inc.</t>
        </is>
      </c>
      <c r="C8" s="5">
        <f>'WDAY'!B5</f>
        <v/>
      </c>
      <c r="D8" s="5">
        <f>'WDAY'!B6</f>
        <v/>
      </c>
      <c r="E8" s="6">
        <f>'WDAY'!F12</f>
        <v/>
      </c>
      <c r="F8" s="6">
        <f>'WDAY'!B35</f>
        <v/>
      </c>
      <c r="G8" s="6">
        <f>'WDAY'!B38</f>
        <v/>
      </c>
      <c r="H8" s="6">
        <f>'WDAY'!B39</f>
        <v/>
      </c>
      <c r="I8" s="7">
        <f>'WDAY'!B40</f>
        <v/>
      </c>
      <c r="J8" s="8">
        <f>'WDAY'!C48</f>
        <v/>
      </c>
      <c r="K8" s="8">
        <f>'WDAY'!G44</f>
        <v/>
      </c>
      <c r="L8" s="9" t="n">
        <v>158.11</v>
      </c>
      <c r="M8" s="10" t="n">
        <v>246.97</v>
      </c>
      <c r="N8" s="6">
        <f>L8*M8</f>
        <v/>
      </c>
      <c r="O8" s="11">
        <f>(G8-N8)/N8</f>
        <v/>
      </c>
    </row>
    <row r="9">
      <c r="A9" s="4" t="inlineStr">
        <is>
          <t>HUBS</t>
        </is>
      </c>
      <c r="B9" s="4" t="inlineStr">
        <is>
          <t>HubSpot Inc</t>
        </is>
      </c>
      <c r="C9" s="5">
        <f>'HUBS'!B5</f>
        <v/>
      </c>
      <c r="D9" s="5">
        <f>'HUBS'!B6</f>
        <v/>
      </c>
      <c r="E9" s="6">
        <f>'HUBS'!F12</f>
        <v/>
      </c>
      <c r="F9" s="6">
        <f>'HUBS'!B35</f>
        <v/>
      </c>
      <c r="G9" s="6">
        <f>'HUBS'!B38</f>
        <v/>
      </c>
      <c r="H9" s="6">
        <f>'HUBS'!B39</f>
        <v/>
      </c>
      <c r="I9" s="7">
        <f>'HUBS'!B40</f>
        <v/>
      </c>
      <c r="J9" s="8">
        <f>'HUBS'!C48</f>
        <v/>
      </c>
      <c r="K9" s="8">
        <f>'HUBS'!G44</f>
        <v/>
      </c>
      <c r="L9" s="9" t="n">
        <v>233.1</v>
      </c>
      <c r="M9" s="10" t="n">
        <v>51.22</v>
      </c>
      <c r="N9" s="6">
        <f>L9*M9</f>
        <v/>
      </c>
      <c r="O9" s="11">
        <f>(G9-N9)/N9</f>
        <v/>
      </c>
    </row>
    <row r="10">
      <c r="A10" s="4" t="inlineStr">
        <is>
          <t>TEAM</t>
        </is>
      </c>
      <c r="B10" s="4" t="inlineStr">
        <is>
          <t>Atlassian Corp</t>
        </is>
      </c>
      <c r="C10" s="5">
        <f>'TEAM'!B5</f>
        <v/>
      </c>
      <c r="D10" s="5">
        <f>'TEAM'!B6</f>
        <v/>
      </c>
      <c r="E10" s="6">
        <f>'TEAM'!F12</f>
        <v/>
      </c>
      <c r="F10" s="6">
        <f>'TEAM'!B35</f>
        <v/>
      </c>
      <c r="G10" s="6">
        <f>'TEAM'!B38</f>
        <v/>
      </c>
      <c r="H10" s="6">
        <f>'TEAM'!B39</f>
        <v/>
      </c>
      <c r="I10" s="7">
        <f>'TEAM'!B40</f>
        <v/>
      </c>
      <c r="J10" s="8">
        <f>'TEAM'!C48</f>
        <v/>
      </c>
      <c r="K10" s="8">
        <f>'TEAM'!G44</f>
        <v/>
      </c>
      <c r="L10" s="9" t="n">
        <v>98.12</v>
      </c>
      <c r="M10" s="10" t="n">
        <v>253.77</v>
      </c>
      <c r="N10" s="6">
        <f>L10*M10</f>
        <v/>
      </c>
      <c r="O10" s="11">
        <f>(G10-N10)/N10</f>
        <v/>
      </c>
    </row>
    <row r="11">
      <c r="A11" s="4" t="inlineStr">
        <is>
          <t>DDOG</t>
        </is>
      </c>
      <c r="B11" s="4" t="inlineStr">
        <is>
          <t>Datadog, Inc.</t>
        </is>
      </c>
      <c r="C11" s="5">
        <f>'DDOG'!B5</f>
        <v/>
      </c>
      <c r="D11" s="5">
        <f>'DDOG'!B6</f>
        <v/>
      </c>
      <c r="E11" s="6">
        <f>'DDOG'!F12</f>
        <v/>
      </c>
      <c r="F11" s="6">
        <f>'DDOG'!B35</f>
        <v/>
      </c>
      <c r="G11" s="6">
        <f>'DDOG'!B38</f>
        <v/>
      </c>
      <c r="H11" s="6">
        <f>'DDOG'!B39</f>
        <v/>
      </c>
      <c r="I11" s="7">
        <f>'DDOG'!B40</f>
        <v/>
      </c>
      <c r="J11" s="8">
        <f>'DDOG'!C48</f>
        <v/>
      </c>
      <c r="K11" s="8">
        <f>'DDOG'!G44</f>
        <v/>
      </c>
      <c r="L11" s="9" t="n">
        <v>268.56</v>
      </c>
      <c r="M11" s="10" t="n">
        <v>355.96</v>
      </c>
      <c r="N11" s="6">
        <f>L11*M11</f>
        <v/>
      </c>
      <c r="O11" s="11">
        <f>(G11-N11)/N11</f>
        <v/>
      </c>
    </row>
    <row r="12">
      <c r="A12" s="4" t="inlineStr">
        <is>
          <t>SNOW</t>
        </is>
      </c>
      <c r="B12" s="4" t="inlineStr">
        <is>
          <t>Snowflake Inc.</t>
        </is>
      </c>
      <c r="C12" s="5">
        <f>'SNOW'!B5</f>
        <v/>
      </c>
      <c r="D12" s="5">
        <f>'SNOW'!B6</f>
        <v/>
      </c>
      <c r="E12" s="6">
        <f>'SNOW'!F12</f>
        <v/>
      </c>
      <c r="F12" s="6">
        <f>'SNOW'!B35</f>
        <v/>
      </c>
      <c r="G12" s="6">
        <f>'SNOW'!B38</f>
        <v/>
      </c>
      <c r="H12" s="6">
        <f>'SNOW'!B39</f>
        <v/>
      </c>
      <c r="I12" s="7">
        <f>'SNOW'!B40</f>
        <v/>
      </c>
      <c r="J12" s="8">
        <f>'SNOW'!C48</f>
        <v/>
      </c>
      <c r="K12" s="8">
        <f>'SNOW'!G44</f>
        <v/>
      </c>
      <c r="L12" s="9" t="n">
        <v>298.1</v>
      </c>
      <c r="M12" s="10" t="n">
        <v>346.6</v>
      </c>
      <c r="N12" s="6">
        <f>L12*M12</f>
        <v/>
      </c>
      <c r="O12" s="11">
        <f>(G12-N12)/N12</f>
        <v/>
      </c>
    </row>
    <row r="13">
      <c r="A13" s="4" t="inlineStr">
        <is>
          <t>ZS</t>
        </is>
      </c>
      <c r="B13" s="4" t="inlineStr">
        <is>
          <t>Zscaler, Inc.</t>
        </is>
      </c>
      <c r="C13" s="5">
        <f>'ZS'!B5</f>
        <v/>
      </c>
      <c r="D13" s="5">
        <f>'ZS'!B6</f>
        <v/>
      </c>
      <c r="E13" s="6">
        <f>'ZS'!F12</f>
        <v/>
      </c>
      <c r="F13" s="6">
        <f>'ZS'!B35</f>
        <v/>
      </c>
      <c r="G13" s="6">
        <f>'ZS'!B38</f>
        <v/>
      </c>
      <c r="H13" s="6">
        <f>'ZS'!B39</f>
        <v/>
      </c>
      <c r="I13" s="7">
        <f>'ZS'!B40</f>
        <v/>
      </c>
      <c r="J13" s="8">
        <f>'ZS'!C48</f>
        <v/>
      </c>
      <c r="K13" s="8">
        <f>'ZS'!G44</f>
        <v/>
      </c>
      <c r="L13" s="9" t="n">
        <v>148.39</v>
      </c>
      <c r="M13" s="10" t="n">
        <v>161.71</v>
      </c>
      <c r="N13" s="6">
        <f>L13*M13</f>
        <v/>
      </c>
      <c r="O13" s="11">
        <f>(G13-N13)/N13</f>
        <v/>
      </c>
    </row>
    <row r="14">
      <c r="A14" s="4" t="inlineStr">
        <is>
          <t>CRWD</t>
        </is>
      </c>
      <c r="B14" s="4" t="inlineStr">
        <is>
          <t>CrowdStrike Holdings, Inc.</t>
        </is>
      </c>
      <c r="C14" s="5">
        <f>'CRWD'!B5</f>
        <v/>
      </c>
      <c r="D14" s="5">
        <f>'CRWD'!B6</f>
        <v/>
      </c>
      <c r="E14" s="6">
        <f>'CRWD'!F12</f>
        <v/>
      </c>
      <c r="F14" s="6">
        <f>'CRWD'!B35</f>
        <v/>
      </c>
      <c r="G14" s="6">
        <f>'CRWD'!B38</f>
        <v/>
      </c>
      <c r="H14" s="6">
        <f>'CRWD'!B39</f>
        <v/>
      </c>
      <c r="I14" s="7">
        <f>'CRWD'!B40</f>
        <v/>
      </c>
      <c r="J14" s="8">
        <f>'CRWD'!C48</f>
        <v/>
      </c>
      <c r="K14" s="8">
        <f>'CRWD'!G44</f>
        <v/>
      </c>
      <c r="L14" s="9" t="n">
        <v>185.22</v>
      </c>
      <c r="M14" s="10" t="n">
        <v>1020</v>
      </c>
      <c r="N14" s="6">
        <f>L14*M14</f>
        <v/>
      </c>
      <c r="O14" s="11">
        <f>(G14-N14)/N14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CRM — Salesforce, Inc.</t>
        </is>
      </c>
    </row>
    <row r="2">
      <c r="A2" s="4" t="inlineStr">
        <is>
          <t>Unlevered DCF | $ in millions except per-share and share count</t>
        </is>
      </c>
    </row>
    <row r="4">
      <c r="A4" s="3" t="inlineStr">
        <is>
          <t>Assumptions (edit the highlighted cells)</t>
        </is>
      </c>
      <c r="B4" s="12" t="n"/>
      <c r="C4" s="12" t="n"/>
      <c r="D4" s="12" t="n"/>
      <c r="E4" s="12" t="n"/>
      <c r="F4" s="12" t="n"/>
      <c r="G4" s="12" t="n"/>
    </row>
    <row r="5">
      <c r="A5" s="4" t="inlineStr">
        <is>
          <t>WACC (discount rate)</t>
        </is>
      </c>
      <c r="B5" s="13" t="n">
        <v>0.1</v>
      </c>
    </row>
    <row r="6">
      <c r="A6" s="4" t="inlineStr">
        <is>
          <t>Terminal growth rate</t>
        </is>
      </c>
      <c r="B6" s="13" t="n">
        <v>0.03</v>
      </c>
    </row>
    <row r="7">
      <c r="A7" s="4" t="inlineStr">
        <is>
          <t>Starting revenue growth rate</t>
        </is>
      </c>
      <c r="B7" s="13" t="n">
        <v>0.09579100145137875</v>
      </c>
      <c r="C7" s="2" t="inlineStr">
        <is>
          <t>default: most recent YoY revenue growth</t>
        </is>
      </c>
    </row>
    <row r="8">
      <c r="A8" s="4" t="inlineStr">
        <is>
          <t>Unlevered FCF margin (% of revenue)</t>
        </is>
      </c>
      <c r="B8" s="13" t="n">
        <v>0.3374721891877959</v>
      </c>
      <c r="C8" s="2" t="inlineStr">
        <is>
          <t>default: avg of last 2 fiscal years' FCF / revenue</t>
        </is>
      </c>
    </row>
    <row r="10">
      <c r="A10" s="3" t="inlineStr">
        <is>
          <t>Historical Trend ($ in millions)</t>
        </is>
      </c>
      <c r="B10" s="12" t="n"/>
      <c r="C10" s="12" t="n"/>
      <c r="D10" s="12" t="n"/>
      <c r="E10" s="12" t="n"/>
      <c r="F10" s="12" t="n"/>
      <c r="G10" s="12" t="n"/>
    </row>
    <row r="11">
      <c r="A11" s="4" t="inlineStr">
        <is>
          <t>Fiscal year</t>
        </is>
      </c>
      <c r="B11" s="14" t="n">
        <v>2022</v>
      </c>
      <c r="C11" s="14" t="n">
        <v>2023</v>
      </c>
      <c r="D11" s="14" t="n">
        <v>2024</v>
      </c>
      <c r="E11" s="14" t="n">
        <v>2025</v>
      </c>
      <c r="F11" s="14" t="n">
        <v>2026</v>
      </c>
    </row>
    <row r="12">
      <c r="A12" s="4" t="inlineStr">
        <is>
          <t>Revenue</t>
        </is>
      </c>
      <c r="B12" s="6" t="n">
        <v>26492</v>
      </c>
      <c r="C12" s="6" t="n">
        <v>31352</v>
      </c>
      <c r="D12" s="6" t="n">
        <v>34857</v>
      </c>
      <c r="E12" s="6" t="n">
        <v>37895</v>
      </c>
      <c r="F12" s="6" t="n">
        <v>41525</v>
      </c>
    </row>
    <row r="13">
      <c r="A13" s="4" t="inlineStr">
        <is>
          <t>Revenue growth %</t>
        </is>
      </c>
      <c r="C13" s="5">
        <f>C12/B12-1</f>
        <v/>
      </c>
      <c r="D13" s="5">
        <f>D12/C12-1</f>
        <v/>
      </c>
      <c r="E13" s="5">
        <f>E12/D12-1</f>
        <v/>
      </c>
      <c r="F13" s="5">
        <f>F12/E12-1</f>
        <v/>
      </c>
    </row>
    <row r="14">
      <c r="A14" s="4" t="inlineStr">
        <is>
          <t>Free cash flow</t>
        </is>
      </c>
      <c r="B14" s="6" t="n">
        <v>5283</v>
      </c>
      <c r="C14" s="6" t="n">
        <v>6313</v>
      </c>
      <c r="D14" s="6" t="n">
        <v>9498</v>
      </c>
      <c r="E14" s="6" t="n">
        <v>12434</v>
      </c>
      <c r="F14" s="6" t="n">
        <v>14402</v>
      </c>
    </row>
    <row r="15">
      <c r="A15" s="4" t="inlineStr">
        <is>
          <t>FCF margin %</t>
        </is>
      </c>
      <c r="B15" s="5">
        <f>B14/B12</f>
        <v/>
      </c>
      <c r="C15" s="5">
        <f>C14/C12</f>
        <v/>
      </c>
      <c r="D15" s="5">
        <f>D14/D12</f>
        <v/>
      </c>
      <c r="E15" s="5">
        <f>E14/E12</f>
        <v/>
      </c>
      <c r="F15" s="5">
        <f>F14/F12</f>
        <v/>
      </c>
    </row>
    <row r="17">
      <c r="A17" s="3" t="inlineStr">
        <is>
          <t>Balance Sheet Actuals — FY2026 ($ in millions)</t>
        </is>
      </c>
      <c r="B17" s="12" t="n"/>
      <c r="C17" s="12" t="n"/>
      <c r="D17" s="12" t="n"/>
      <c r="E17" s="12" t="n"/>
      <c r="F17" s="12" t="n"/>
      <c r="G17" s="12" t="n"/>
    </row>
    <row r="18">
      <c r="A18" s="4" t="inlineStr">
        <is>
          <t>Cash &amp; equivalents</t>
        </is>
      </c>
      <c r="B18" s="6" t="n">
        <v>7327</v>
      </c>
    </row>
    <row r="19">
      <c r="A19" s="4" t="inlineStr">
        <is>
          <t>Total debt</t>
        </is>
      </c>
      <c r="B19" s="6" t="n">
        <v>14439</v>
      </c>
    </row>
    <row r="20">
      <c r="A20" s="4" t="inlineStr">
        <is>
          <t>Diluted shares outstanding (millions)</t>
        </is>
      </c>
      <c r="B20" s="6" t="n">
        <v>956</v>
      </c>
    </row>
    <row r="22">
      <c r="A22" s="3" t="inlineStr">
        <is>
          <t>5-Year Projection ($ in millions)</t>
        </is>
      </c>
      <c r="B22" s="12" t="n"/>
      <c r="C22" s="12" t="n"/>
      <c r="D22" s="12" t="n"/>
      <c r="E22" s="12" t="n"/>
      <c r="F22" s="12" t="n"/>
      <c r="G22" s="12" t="n"/>
    </row>
    <row r="23">
      <c r="A23" s="4" t="inlineStr">
        <is>
          <t>Fiscal year</t>
        </is>
      </c>
      <c r="B23" s="14" t="inlineStr">
        <is>
          <t>FY2027E</t>
        </is>
      </c>
      <c r="C23" s="14" t="inlineStr">
        <is>
          <t>FY2028E</t>
        </is>
      </c>
      <c r="D23" s="14" t="inlineStr">
        <is>
          <t>FY2029E</t>
        </is>
      </c>
      <c r="E23" s="14" t="inlineStr">
        <is>
          <t>FY2030E</t>
        </is>
      </c>
      <c r="F23" s="14" t="inlineStr">
        <is>
          <t>FY2031E</t>
        </is>
      </c>
    </row>
    <row r="24">
      <c r="A24" s="4" t="inlineStr">
        <is>
          <t>Revenue growth rate</t>
        </is>
      </c>
      <c r="B24" s="5">
        <f>$B$7+($B$6-$B$7)*1/5</f>
        <v/>
      </c>
      <c r="C24" s="5">
        <f>$B$7+($B$6-$B$7)*2/5</f>
        <v/>
      </c>
      <c r="D24" s="5">
        <f>$B$7+($B$6-$B$7)*3/5</f>
        <v/>
      </c>
      <c r="E24" s="5">
        <f>$B$7+($B$6-$B$7)*4/5</f>
        <v/>
      </c>
      <c r="F24" s="5">
        <f>$B$7+($B$6-$B$7)*5/5</f>
        <v/>
      </c>
    </row>
    <row r="25">
      <c r="A25" s="4" t="inlineStr">
        <is>
          <t>Projected revenue</t>
        </is>
      </c>
      <c r="B25" s="6">
        <f>F12*(1+B24)</f>
        <v/>
      </c>
      <c r="C25" s="6">
        <f>B25*(1+C24)</f>
        <v/>
      </c>
      <c r="D25" s="6">
        <f>C25*(1+D24)</f>
        <v/>
      </c>
      <c r="E25" s="6">
        <f>D25*(1+E24)</f>
        <v/>
      </c>
      <c r="F25" s="6">
        <f>E25*(1+F24)</f>
        <v/>
      </c>
    </row>
    <row r="26">
      <c r="A26" s="4" t="inlineStr">
        <is>
          <t>FCF margin (assumption, held flat)</t>
        </is>
      </c>
      <c r="B26" s="5">
        <f>$B$8</f>
        <v/>
      </c>
      <c r="C26" s="5">
        <f>$B$8</f>
        <v/>
      </c>
      <c r="D26" s="5">
        <f>$B$8</f>
        <v/>
      </c>
      <c r="E26" s="5">
        <f>$B$8</f>
        <v/>
      </c>
      <c r="F26" s="5">
        <f>$B$8</f>
        <v/>
      </c>
    </row>
    <row r="27">
      <c r="A27" s="4" t="inlineStr">
        <is>
          <t>Projected unlevered FCF</t>
        </is>
      </c>
      <c r="B27" s="6">
        <f>B25*B26</f>
        <v/>
      </c>
      <c r="C27" s="6">
        <f>C25*C26</f>
        <v/>
      </c>
      <c r="D27" s="6">
        <f>D25*D26</f>
        <v/>
      </c>
      <c r="E27" s="6">
        <f>E25*E26</f>
        <v/>
      </c>
      <c r="F27" s="6">
        <f>F25*F26</f>
        <v/>
      </c>
    </row>
    <row r="28">
      <c r="A28" s="4" t="inlineStr">
        <is>
          <t>Discount factor</t>
        </is>
      </c>
      <c r="B28" s="15">
        <f>1/(1+$B$5)^1</f>
        <v/>
      </c>
      <c r="C28" s="15">
        <f>1/(1+$B$5)^2</f>
        <v/>
      </c>
      <c r="D28" s="15">
        <f>1/(1+$B$5)^3</f>
        <v/>
      </c>
      <c r="E28" s="15">
        <f>1/(1+$B$5)^4</f>
        <v/>
      </c>
      <c r="F28" s="15">
        <f>1/(1+$B$5)^5</f>
        <v/>
      </c>
    </row>
    <row r="29">
      <c r="A29" s="4" t="inlineStr">
        <is>
          <t>PV of FCF</t>
        </is>
      </c>
      <c r="B29" s="6">
        <f>B27*B28</f>
        <v/>
      </c>
      <c r="C29" s="6">
        <f>C27*C28</f>
        <v/>
      </c>
      <c r="D29" s="6">
        <f>D27*D28</f>
        <v/>
      </c>
      <c r="E29" s="6">
        <f>E27*E28</f>
        <v/>
      </c>
      <c r="F29" s="6">
        <f>F27*F28</f>
        <v/>
      </c>
    </row>
    <row r="31">
      <c r="A31" s="3" t="inlineStr">
        <is>
          <t>Terminal Value &amp; Valuation</t>
        </is>
      </c>
      <c r="B31" s="12" t="n"/>
      <c r="C31" s="12" t="n"/>
      <c r="D31" s="12" t="n"/>
      <c r="E31" s="12" t="n"/>
      <c r="F31" s="12" t="n"/>
      <c r="G31" s="12" t="n"/>
    </row>
    <row r="32">
      <c r="A32" s="4" t="inlineStr">
        <is>
          <t>Terminal value (end of FY2031)</t>
        </is>
      </c>
      <c r="B32" s="6">
        <f>F27*(1+$B$6)/($B$5-$B$6)</f>
        <v/>
      </c>
    </row>
    <row r="33">
      <c r="A33" s="4" t="inlineStr">
        <is>
          <t>PV of terminal value</t>
        </is>
      </c>
      <c r="B33" s="6">
        <f>B32*F28</f>
        <v/>
      </c>
    </row>
    <row r="34">
      <c r="A34" s="4" t="inlineStr">
        <is>
          <t>Sum of PV of projected FCFs</t>
        </is>
      </c>
      <c r="B34" s="6">
        <f>SUM(B29:F29)</f>
        <v/>
      </c>
    </row>
    <row r="35">
      <c r="A35" s="4" t="inlineStr">
        <is>
          <t>Enterprise value</t>
        </is>
      </c>
      <c r="B35" s="16">
        <f>B33+B34</f>
        <v/>
      </c>
    </row>
    <row r="36">
      <c r="A36" s="4" t="inlineStr">
        <is>
          <t>Less: total debt</t>
        </is>
      </c>
      <c r="B36" s="6">
        <f>-B19</f>
        <v/>
      </c>
    </row>
    <row r="37">
      <c r="A37" s="4" t="inlineStr">
        <is>
          <t>Plus: cash &amp; equivalents</t>
        </is>
      </c>
      <c r="B37" s="6">
        <f>B18</f>
        <v/>
      </c>
    </row>
    <row r="38">
      <c r="A38" s="4" t="inlineStr">
        <is>
          <t>Equity value</t>
        </is>
      </c>
      <c r="B38" s="16">
        <f>B35+B36+B37</f>
        <v/>
      </c>
    </row>
    <row r="39">
      <c r="A39" s="4" t="inlineStr">
        <is>
          <t>Diluted shares outstanding (millions)</t>
        </is>
      </c>
      <c r="B39" s="6">
        <f>B20</f>
        <v/>
      </c>
    </row>
    <row r="40">
      <c r="A40" s="4" t="inlineStr">
        <is>
          <t>Implied value per share</t>
        </is>
      </c>
      <c r="B40" s="7">
        <f>B38/B39</f>
        <v/>
      </c>
    </row>
    <row r="42">
      <c r="A42" s="3" t="inlineStr">
        <is>
          <t>Sensitivity: Implied Value/Share (WACC x Terminal Growth)</t>
        </is>
      </c>
      <c r="B42" s="12" t="n"/>
      <c r="C42" s="12" t="n"/>
      <c r="D42" s="12" t="n"/>
      <c r="E42" s="12" t="n"/>
      <c r="F42" s="12" t="n"/>
      <c r="G42" s="12" t="n"/>
    </row>
    <row r="43">
      <c r="B43" s="17" t="inlineStr">
        <is>
          <t>WACC \ Term. g</t>
        </is>
      </c>
      <c r="C43" s="18" t="n">
        <v>0.02</v>
      </c>
      <c r="D43" s="18" t="n">
        <v>0.025</v>
      </c>
      <c r="E43" s="18" t="n">
        <v>0.03</v>
      </c>
      <c r="F43" s="18" t="n">
        <v>0.035</v>
      </c>
      <c r="G43" s="18" t="n">
        <v>0.04</v>
      </c>
    </row>
    <row r="44">
      <c r="B44" s="19" t="n">
        <v>0.08</v>
      </c>
      <c r="C44" s="20">
        <f>((((($F$12*(1+($B$7+(C$43-$B$7)*1/5)))*$B$8)/(1+$B$44)^1)+((($F$12*(1+($B$7+(C$43-$B$7)*1/5))*(1+($B$7+(C$43-$B$7)*2/5)))*$B$8)/(1+$B$44)^2)+((($F$12*(1+($B$7+(C$43-$B$7)*1/5))*(1+($B$7+(C$43-$B$7)*2/5))*(1+($B$7+(C$43-$B$7)*3/5)))*$B$8)/(1+$B$44)^3)+((($F$12*(1+($B$7+(C$43-$B$7)*1/5))*(1+($B$7+(C$43-$B$7)*2/5))*(1+($B$7+(C$43-$B$7)*3/5))*(1+($B$7+(C$43-$B$7)*4/5)))*$B$8)/(1+$B$44)^4)+((($F$12*(1+($B$7+(C$43-$B$7)*1/5))*(1+($B$7+(C$43-$B$7)*2/5))*(1+($B$7+(C$43-$B$7)*3/5))*(1+($B$7+(C$43-$B$7)*4/5))*(1+($B$7+(C$43-$B$7)*5/5)))*$B$8)/(1+$B$44)^5)+((((($F$12*(1+($B$7+(C$43-$B$7)*1/5))*(1+($B$7+(C$43-$B$7)*2/5))*(1+($B$7+(C$43-$B$7)*3/5))*(1+($B$7+(C$43-$B$7)*4/5))*(1+($B$7+(C$43-$B$7)*5/5)))*$B$8)*(1+C$43))/($B$44-C$43))/(1+$B$44)^5))-$B$19+$B$18)/$B$20</f>
        <v/>
      </c>
      <c r="D44" s="20">
        <f>((((($F$12*(1+($B$7+(D$43-$B$7)*1/5)))*$B$8)/(1+$B$44)^1)+((($F$12*(1+($B$7+(D$43-$B$7)*1/5))*(1+($B$7+(D$43-$B$7)*2/5)))*$B$8)/(1+$B$44)^2)+((($F$12*(1+($B$7+(D$43-$B$7)*1/5))*(1+($B$7+(D$43-$B$7)*2/5))*(1+($B$7+(D$43-$B$7)*3/5)))*$B$8)/(1+$B$44)^3)+((($F$12*(1+($B$7+(D$43-$B$7)*1/5))*(1+($B$7+(D$43-$B$7)*2/5))*(1+($B$7+(D$43-$B$7)*3/5))*(1+($B$7+(D$43-$B$7)*4/5)))*$B$8)/(1+$B$44)^4)+((($F$12*(1+($B$7+(D$43-$B$7)*1/5))*(1+($B$7+(D$43-$B$7)*2/5))*(1+($B$7+(D$43-$B$7)*3/5))*(1+($B$7+(D$43-$B$7)*4/5))*(1+($B$7+(D$43-$B$7)*5/5)))*$B$8)/(1+$B$44)^5)+((((($F$12*(1+($B$7+(D$43-$B$7)*1/5))*(1+($B$7+(D$43-$B$7)*2/5))*(1+($B$7+(D$43-$B$7)*3/5))*(1+($B$7+(D$43-$B$7)*4/5))*(1+($B$7+(D$43-$B$7)*5/5)))*$B$8)*(1+D$43))/($B$44-D$43))/(1+$B$44)^5))-$B$19+$B$18)/$B$20</f>
        <v/>
      </c>
      <c r="E44" s="20">
        <f>((((($F$12*(1+($B$7+(E$43-$B$7)*1/5)))*$B$8)/(1+$B$44)^1)+((($F$12*(1+($B$7+(E$43-$B$7)*1/5))*(1+($B$7+(E$43-$B$7)*2/5)))*$B$8)/(1+$B$44)^2)+((($F$12*(1+($B$7+(E$43-$B$7)*1/5))*(1+($B$7+(E$43-$B$7)*2/5))*(1+($B$7+(E$43-$B$7)*3/5)))*$B$8)/(1+$B$44)^3)+((($F$12*(1+($B$7+(E$43-$B$7)*1/5))*(1+($B$7+(E$43-$B$7)*2/5))*(1+($B$7+(E$43-$B$7)*3/5))*(1+($B$7+(E$43-$B$7)*4/5)))*$B$8)/(1+$B$44)^4)+((($F$12*(1+($B$7+(E$43-$B$7)*1/5))*(1+($B$7+(E$43-$B$7)*2/5))*(1+($B$7+(E$43-$B$7)*3/5))*(1+($B$7+(E$43-$B$7)*4/5))*(1+($B$7+(E$43-$B$7)*5/5)))*$B$8)/(1+$B$44)^5)+((((($F$12*(1+($B$7+(E$43-$B$7)*1/5))*(1+($B$7+(E$43-$B$7)*2/5))*(1+($B$7+(E$43-$B$7)*3/5))*(1+($B$7+(E$43-$B$7)*4/5))*(1+($B$7+(E$43-$B$7)*5/5)))*$B$8)*(1+E$43))/($B$44-E$43))/(1+$B$44)^5))-$B$19+$B$18)/$B$20</f>
        <v/>
      </c>
      <c r="F44" s="20">
        <f>((((($F$12*(1+($B$7+(F$43-$B$7)*1/5)))*$B$8)/(1+$B$44)^1)+((($F$12*(1+($B$7+(F$43-$B$7)*1/5))*(1+($B$7+(F$43-$B$7)*2/5)))*$B$8)/(1+$B$44)^2)+((($F$12*(1+($B$7+(F$43-$B$7)*1/5))*(1+($B$7+(F$43-$B$7)*2/5))*(1+($B$7+(F$43-$B$7)*3/5)))*$B$8)/(1+$B$44)^3)+((($F$12*(1+($B$7+(F$43-$B$7)*1/5))*(1+($B$7+(F$43-$B$7)*2/5))*(1+($B$7+(F$43-$B$7)*3/5))*(1+($B$7+(F$43-$B$7)*4/5)))*$B$8)/(1+$B$44)^4)+((($F$12*(1+($B$7+(F$43-$B$7)*1/5))*(1+($B$7+(F$43-$B$7)*2/5))*(1+($B$7+(F$43-$B$7)*3/5))*(1+($B$7+(F$43-$B$7)*4/5))*(1+($B$7+(F$43-$B$7)*5/5)))*$B$8)/(1+$B$44)^5)+((((($F$12*(1+($B$7+(F$43-$B$7)*1/5))*(1+($B$7+(F$43-$B$7)*2/5))*(1+($B$7+(F$43-$B$7)*3/5))*(1+($B$7+(F$43-$B$7)*4/5))*(1+($B$7+(F$43-$B$7)*5/5)))*$B$8)*(1+F$43))/($B$44-F$43))/(1+$B$44)^5))-$B$19+$B$18)/$B$20</f>
        <v/>
      </c>
      <c r="G44" s="20">
        <f>((((($F$12*(1+($B$7+(G$43-$B$7)*1/5)))*$B$8)/(1+$B$44)^1)+((($F$12*(1+($B$7+(G$43-$B$7)*1/5))*(1+($B$7+(G$43-$B$7)*2/5)))*$B$8)/(1+$B$44)^2)+((($F$12*(1+($B$7+(G$43-$B$7)*1/5))*(1+($B$7+(G$43-$B$7)*2/5))*(1+($B$7+(G$43-$B$7)*3/5)))*$B$8)/(1+$B$44)^3)+((($F$12*(1+($B$7+(G$43-$B$7)*1/5))*(1+($B$7+(G$43-$B$7)*2/5))*(1+($B$7+(G$43-$B$7)*3/5))*(1+($B$7+(G$43-$B$7)*4/5)))*$B$8)/(1+$B$44)^4)+((($F$12*(1+($B$7+(G$43-$B$7)*1/5))*(1+($B$7+(G$43-$B$7)*2/5))*(1+($B$7+(G$43-$B$7)*3/5))*(1+($B$7+(G$43-$B$7)*4/5))*(1+($B$7+(G$43-$B$7)*5/5)))*$B$8)/(1+$B$44)^5)+((((($F$12*(1+($B$7+(G$43-$B$7)*1/5))*(1+($B$7+(G$43-$B$7)*2/5))*(1+($B$7+(G$43-$B$7)*3/5))*(1+($B$7+(G$43-$B$7)*4/5))*(1+($B$7+(G$43-$B$7)*5/5)))*$B$8)*(1+G$43))/($B$44-G$43))/(1+$B$44)^5))-$B$19+$B$18)/$B$20</f>
        <v/>
      </c>
    </row>
    <row r="45">
      <c r="B45" s="19" t="n">
        <v>0.09</v>
      </c>
      <c r="C45" s="20">
        <f>((((($F$12*(1+($B$7+(C$43-$B$7)*1/5)))*$B$8)/(1+$B$45)^1)+((($F$12*(1+($B$7+(C$43-$B$7)*1/5))*(1+($B$7+(C$43-$B$7)*2/5)))*$B$8)/(1+$B$45)^2)+((($F$12*(1+($B$7+(C$43-$B$7)*1/5))*(1+($B$7+(C$43-$B$7)*2/5))*(1+($B$7+(C$43-$B$7)*3/5)))*$B$8)/(1+$B$45)^3)+((($F$12*(1+($B$7+(C$43-$B$7)*1/5))*(1+($B$7+(C$43-$B$7)*2/5))*(1+($B$7+(C$43-$B$7)*3/5))*(1+($B$7+(C$43-$B$7)*4/5)))*$B$8)/(1+$B$45)^4)+((($F$12*(1+($B$7+(C$43-$B$7)*1/5))*(1+($B$7+(C$43-$B$7)*2/5))*(1+($B$7+(C$43-$B$7)*3/5))*(1+($B$7+(C$43-$B$7)*4/5))*(1+($B$7+(C$43-$B$7)*5/5)))*$B$8)/(1+$B$45)^5)+((((($F$12*(1+($B$7+(C$43-$B$7)*1/5))*(1+($B$7+(C$43-$B$7)*2/5))*(1+($B$7+(C$43-$B$7)*3/5))*(1+($B$7+(C$43-$B$7)*4/5))*(1+($B$7+(C$43-$B$7)*5/5)))*$B$8)*(1+C$43))/($B$45-C$43))/(1+$B$45)^5))-$B$19+$B$18)/$B$20</f>
        <v/>
      </c>
      <c r="D45" s="20">
        <f>((((($F$12*(1+($B$7+(D$43-$B$7)*1/5)))*$B$8)/(1+$B$45)^1)+((($F$12*(1+($B$7+(D$43-$B$7)*1/5))*(1+($B$7+(D$43-$B$7)*2/5)))*$B$8)/(1+$B$45)^2)+((($F$12*(1+($B$7+(D$43-$B$7)*1/5))*(1+($B$7+(D$43-$B$7)*2/5))*(1+($B$7+(D$43-$B$7)*3/5)))*$B$8)/(1+$B$45)^3)+((($F$12*(1+($B$7+(D$43-$B$7)*1/5))*(1+($B$7+(D$43-$B$7)*2/5))*(1+($B$7+(D$43-$B$7)*3/5))*(1+($B$7+(D$43-$B$7)*4/5)))*$B$8)/(1+$B$45)^4)+((($F$12*(1+($B$7+(D$43-$B$7)*1/5))*(1+($B$7+(D$43-$B$7)*2/5))*(1+($B$7+(D$43-$B$7)*3/5))*(1+($B$7+(D$43-$B$7)*4/5))*(1+($B$7+(D$43-$B$7)*5/5)))*$B$8)/(1+$B$45)^5)+((((($F$12*(1+($B$7+(D$43-$B$7)*1/5))*(1+($B$7+(D$43-$B$7)*2/5))*(1+($B$7+(D$43-$B$7)*3/5))*(1+($B$7+(D$43-$B$7)*4/5))*(1+($B$7+(D$43-$B$7)*5/5)))*$B$8)*(1+D$43))/($B$45-D$43))/(1+$B$45)^5))-$B$19+$B$18)/$B$20</f>
        <v/>
      </c>
      <c r="E45" s="20">
        <f>((((($F$12*(1+($B$7+(E$43-$B$7)*1/5)))*$B$8)/(1+$B$45)^1)+((($F$12*(1+($B$7+(E$43-$B$7)*1/5))*(1+($B$7+(E$43-$B$7)*2/5)))*$B$8)/(1+$B$45)^2)+((($F$12*(1+($B$7+(E$43-$B$7)*1/5))*(1+($B$7+(E$43-$B$7)*2/5))*(1+($B$7+(E$43-$B$7)*3/5)))*$B$8)/(1+$B$45)^3)+((($F$12*(1+($B$7+(E$43-$B$7)*1/5))*(1+($B$7+(E$43-$B$7)*2/5))*(1+($B$7+(E$43-$B$7)*3/5))*(1+($B$7+(E$43-$B$7)*4/5)))*$B$8)/(1+$B$45)^4)+((($F$12*(1+($B$7+(E$43-$B$7)*1/5))*(1+($B$7+(E$43-$B$7)*2/5))*(1+($B$7+(E$43-$B$7)*3/5))*(1+($B$7+(E$43-$B$7)*4/5))*(1+($B$7+(E$43-$B$7)*5/5)))*$B$8)/(1+$B$45)^5)+((((($F$12*(1+($B$7+(E$43-$B$7)*1/5))*(1+($B$7+(E$43-$B$7)*2/5))*(1+($B$7+(E$43-$B$7)*3/5))*(1+($B$7+(E$43-$B$7)*4/5))*(1+($B$7+(E$43-$B$7)*5/5)))*$B$8)*(1+E$43))/($B$45-E$43))/(1+$B$45)^5))-$B$19+$B$18)/$B$20</f>
        <v/>
      </c>
      <c r="F45" s="20">
        <f>((((($F$12*(1+($B$7+(F$43-$B$7)*1/5)))*$B$8)/(1+$B$45)^1)+((($F$12*(1+($B$7+(F$43-$B$7)*1/5))*(1+($B$7+(F$43-$B$7)*2/5)))*$B$8)/(1+$B$45)^2)+((($F$12*(1+($B$7+(F$43-$B$7)*1/5))*(1+($B$7+(F$43-$B$7)*2/5))*(1+($B$7+(F$43-$B$7)*3/5)))*$B$8)/(1+$B$45)^3)+((($F$12*(1+($B$7+(F$43-$B$7)*1/5))*(1+($B$7+(F$43-$B$7)*2/5))*(1+($B$7+(F$43-$B$7)*3/5))*(1+($B$7+(F$43-$B$7)*4/5)))*$B$8)/(1+$B$45)^4)+((($F$12*(1+($B$7+(F$43-$B$7)*1/5))*(1+($B$7+(F$43-$B$7)*2/5))*(1+($B$7+(F$43-$B$7)*3/5))*(1+($B$7+(F$43-$B$7)*4/5))*(1+($B$7+(F$43-$B$7)*5/5)))*$B$8)/(1+$B$45)^5)+((((($F$12*(1+($B$7+(F$43-$B$7)*1/5))*(1+($B$7+(F$43-$B$7)*2/5))*(1+($B$7+(F$43-$B$7)*3/5))*(1+($B$7+(F$43-$B$7)*4/5))*(1+($B$7+(F$43-$B$7)*5/5)))*$B$8)*(1+F$43))/($B$45-F$43))/(1+$B$45)^5))-$B$19+$B$18)/$B$20</f>
        <v/>
      </c>
      <c r="G45" s="20">
        <f>((((($F$12*(1+($B$7+(G$43-$B$7)*1/5)))*$B$8)/(1+$B$45)^1)+((($F$12*(1+($B$7+(G$43-$B$7)*1/5))*(1+($B$7+(G$43-$B$7)*2/5)))*$B$8)/(1+$B$45)^2)+((($F$12*(1+($B$7+(G$43-$B$7)*1/5))*(1+($B$7+(G$43-$B$7)*2/5))*(1+($B$7+(G$43-$B$7)*3/5)))*$B$8)/(1+$B$45)^3)+((($F$12*(1+($B$7+(G$43-$B$7)*1/5))*(1+($B$7+(G$43-$B$7)*2/5))*(1+($B$7+(G$43-$B$7)*3/5))*(1+($B$7+(G$43-$B$7)*4/5)))*$B$8)/(1+$B$45)^4)+((($F$12*(1+($B$7+(G$43-$B$7)*1/5))*(1+($B$7+(G$43-$B$7)*2/5))*(1+($B$7+(G$43-$B$7)*3/5))*(1+($B$7+(G$43-$B$7)*4/5))*(1+($B$7+(G$43-$B$7)*5/5)))*$B$8)/(1+$B$45)^5)+((((($F$12*(1+($B$7+(G$43-$B$7)*1/5))*(1+($B$7+(G$43-$B$7)*2/5))*(1+($B$7+(G$43-$B$7)*3/5))*(1+($B$7+(G$43-$B$7)*4/5))*(1+($B$7+(G$43-$B$7)*5/5)))*$B$8)*(1+G$43))/($B$45-G$43))/(1+$B$45)^5))-$B$19+$B$18)/$B$20</f>
        <v/>
      </c>
    </row>
    <row r="46">
      <c r="B46" s="19" t="n">
        <v>0.1</v>
      </c>
      <c r="C46" s="20">
        <f>((((($F$12*(1+($B$7+(C$43-$B$7)*1/5)))*$B$8)/(1+$B$46)^1)+((($F$12*(1+($B$7+(C$43-$B$7)*1/5))*(1+($B$7+(C$43-$B$7)*2/5)))*$B$8)/(1+$B$46)^2)+((($F$12*(1+($B$7+(C$43-$B$7)*1/5))*(1+($B$7+(C$43-$B$7)*2/5))*(1+($B$7+(C$43-$B$7)*3/5)))*$B$8)/(1+$B$46)^3)+((($F$12*(1+($B$7+(C$43-$B$7)*1/5))*(1+($B$7+(C$43-$B$7)*2/5))*(1+($B$7+(C$43-$B$7)*3/5))*(1+($B$7+(C$43-$B$7)*4/5)))*$B$8)/(1+$B$46)^4)+((($F$12*(1+($B$7+(C$43-$B$7)*1/5))*(1+($B$7+(C$43-$B$7)*2/5))*(1+($B$7+(C$43-$B$7)*3/5))*(1+($B$7+(C$43-$B$7)*4/5))*(1+($B$7+(C$43-$B$7)*5/5)))*$B$8)/(1+$B$46)^5)+((((($F$12*(1+($B$7+(C$43-$B$7)*1/5))*(1+($B$7+(C$43-$B$7)*2/5))*(1+($B$7+(C$43-$B$7)*3/5))*(1+($B$7+(C$43-$B$7)*4/5))*(1+($B$7+(C$43-$B$7)*5/5)))*$B$8)*(1+C$43))/($B$46-C$43))/(1+$B$46)^5))-$B$19+$B$18)/$B$20</f>
        <v/>
      </c>
      <c r="D46" s="20">
        <f>((((($F$12*(1+($B$7+(D$43-$B$7)*1/5)))*$B$8)/(1+$B$46)^1)+((($F$12*(1+($B$7+(D$43-$B$7)*1/5))*(1+($B$7+(D$43-$B$7)*2/5)))*$B$8)/(1+$B$46)^2)+((($F$12*(1+($B$7+(D$43-$B$7)*1/5))*(1+($B$7+(D$43-$B$7)*2/5))*(1+($B$7+(D$43-$B$7)*3/5)))*$B$8)/(1+$B$46)^3)+((($F$12*(1+($B$7+(D$43-$B$7)*1/5))*(1+($B$7+(D$43-$B$7)*2/5))*(1+($B$7+(D$43-$B$7)*3/5))*(1+($B$7+(D$43-$B$7)*4/5)))*$B$8)/(1+$B$46)^4)+((($F$12*(1+($B$7+(D$43-$B$7)*1/5))*(1+($B$7+(D$43-$B$7)*2/5))*(1+($B$7+(D$43-$B$7)*3/5))*(1+($B$7+(D$43-$B$7)*4/5))*(1+($B$7+(D$43-$B$7)*5/5)))*$B$8)/(1+$B$46)^5)+((((($F$12*(1+($B$7+(D$43-$B$7)*1/5))*(1+($B$7+(D$43-$B$7)*2/5))*(1+($B$7+(D$43-$B$7)*3/5))*(1+($B$7+(D$43-$B$7)*4/5))*(1+($B$7+(D$43-$B$7)*5/5)))*$B$8)*(1+D$43))/($B$46-D$43))/(1+$B$46)^5))-$B$19+$B$18)/$B$20</f>
        <v/>
      </c>
      <c r="E46" s="20">
        <f>((((($F$12*(1+($B$7+(E$43-$B$7)*1/5)))*$B$8)/(1+$B$46)^1)+((($F$12*(1+($B$7+(E$43-$B$7)*1/5))*(1+($B$7+(E$43-$B$7)*2/5)))*$B$8)/(1+$B$46)^2)+((($F$12*(1+($B$7+(E$43-$B$7)*1/5))*(1+($B$7+(E$43-$B$7)*2/5))*(1+($B$7+(E$43-$B$7)*3/5)))*$B$8)/(1+$B$46)^3)+((($F$12*(1+($B$7+(E$43-$B$7)*1/5))*(1+($B$7+(E$43-$B$7)*2/5))*(1+($B$7+(E$43-$B$7)*3/5))*(1+($B$7+(E$43-$B$7)*4/5)))*$B$8)/(1+$B$46)^4)+((($F$12*(1+($B$7+(E$43-$B$7)*1/5))*(1+($B$7+(E$43-$B$7)*2/5))*(1+($B$7+(E$43-$B$7)*3/5))*(1+($B$7+(E$43-$B$7)*4/5))*(1+($B$7+(E$43-$B$7)*5/5)))*$B$8)/(1+$B$46)^5)+((((($F$12*(1+($B$7+(E$43-$B$7)*1/5))*(1+($B$7+(E$43-$B$7)*2/5))*(1+($B$7+(E$43-$B$7)*3/5))*(1+($B$7+(E$43-$B$7)*4/5))*(1+($B$7+(E$43-$B$7)*5/5)))*$B$8)*(1+E$43))/($B$46-E$43))/(1+$B$46)^5))-$B$19+$B$18)/$B$20</f>
        <v/>
      </c>
      <c r="F46" s="20">
        <f>((((($F$12*(1+($B$7+(F$43-$B$7)*1/5)))*$B$8)/(1+$B$46)^1)+((($F$12*(1+($B$7+(F$43-$B$7)*1/5))*(1+($B$7+(F$43-$B$7)*2/5)))*$B$8)/(1+$B$46)^2)+((($F$12*(1+($B$7+(F$43-$B$7)*1/5))*(1+($B$7+(F$43-$B$7)*2/5))*(1+($B$7+(F$43-$B$7)*3/5)))*$B$8)/(1+$B$46)^3)+((($F$12*(1+($B$7+(F$43-$B$7)*1/5))*(1+($B$7+(F$43-$B$7)*2/5))*(1+($B$7+(F$43-$B$7)*3/5))*(1+($B$7+(F$43-$B$7)*4/5)))*$B$8)/(1+$B$46)^4)+((($F$12*(1+($B$7+(F$43-$B$7)*1/5))*(1+($B$7+(F$43-$B$7)*2/5))*(1+($B$7+(F$43-$B$7)*3/5))*(1+($B$7+(F$43-$B$7)*4/5))*(1+($B$7+(F$43-$B$7)*5/5)))*$B$8)/(1+$B$46)^5)+((((($F$12*(1+($B$7+(F$43-$B$7)*1/5))*(1+($B$7+(F$43-$B$7)*2/5))*(1+($B$7+(F$43-$B$7)*3/5))*(1+($B$7+(F$43-$B$7)*4/5))*(1+($B$7+(F$43-$B$7)*5/5)))*$B$8)*(1+F$43))/($B$46-F$43))/(1+$B$46)^5))-$B$19+$B$18)/$B$20</f>
        <v/>
      </c>
      <c r="G46" s="20">
        <f>((((($F$12*(1+($B$7+(G$43-$B$7)*1/5)))*$B$8)/(1+$B$46)^1)+((($F$12*(1+($B$7+(G$43-$B$7)*1/5))*(1+($B$7+(G$43-$B$7)*2/5)))*$B$8)/(1+$B$46)^2)+((($F$12*(1+($B$7+(G$43-$B$7)*1/5))*(1+($B$7+(G$43-$B$7)*2/5))*(1+($B$7+(G$43-$B$7)*3/5)))*$B$8)/(1+$B$46)^3)+((($F$12*(1+($B$7+(G$43-$B$7)*1/5))*(1+($B$7+(G$43-$B$7)*2/5))*(1+($B$7+(G$43-$B$7)*3/5))*(1+($B$7+(G$43-$B$7)*4/5)))*$B$8)/(1+$B$46)^4)+((($F$12*(1+($B$7+(G$43-$B$7)*1/5))*(1+($B$7+(G$43-$B$7)*2/5))*(1+($B$7+(G$43-$B$7)*3/5))*(1+($B$7+(G$43-$B$7)*4/5))*(1+($B$7+(G$43-$B$7)*5/5)))*$B$8)/(1+$B$46)^5)+((((($F$12*(1+($B$7+(G$43-$B$7)*1/5))*(1+($B$7+(G$43-$B$7)*2/5))*(1+($B$7+(G$43-$B$7)*3/5))*(1+($B$7+(G$43-$B$7)*4/5))*(1+($B$7+(G$43-$B$7)*5/5)))*$B$8)*(1+G$43))/($B$46-G$43))/(1+$B$46)^5))-$B$19+$B$18)/$B$20</f>
        <v/>
      </c>
    </row>
    <row r="47">
      <c r="B47" s="19" t="n">
        <v>0.11</v>
      </c>
      <c r="C47" s="20">
        <f>((((($F$12*(1+($B$7+(C$43-$B$7)*1/5)))*$B$8)/(1+$B$47)^1)+((($F$12*(1+($B$7+(C$43-$B$7)*1/5))*(1+($B$7+(C$43-$B$7)*2/5)))*$B$8)/(1+$B$47)^2)+((($F$12*(1+($B$7+(C$43-$B$7)*1/5))*(1+($B$7+(C$43-$B$7)*2/5))*(1+($B$7+(C$43-$B$7)*3/5)))*$B$8)/(1+$B$47)^3)+((($F$12*(1+($B$7+(C$43-$B$7)*1/5))*(1+($B$7+(C$43-$B$7)*2/5))*(1+($B$7+(C$43-$B$7)*3/5))*(1+($B$7+(C$43-$B$7)*4/5)))*$B$8)/(1+$B$47)^4)+((($F$12*(1+($B$7+(C$43-$B$7)*1/5))*(1+($B$7+(C$43-$B$7)*2/5))*(1+($B$7+(C$43-$B$7)*3/5))*(1+($B$7+(C$43-$B$7)*4/5))*(1+($B$7+(C$43-$B$7)*5/5)))*$B$8)/(1+$B$47)^5)+((((($F$12*(1+($B$7+(C$43-$B$7)*1/5))*(1+($B$7+(C$43-$B$7)*2/5))*(1+($B$7+(C$43-$B$7)*3/5))*(1+($B$7+(C$43-$B$7)*4/5))*(1+($B$7+(C$43-$B$7)*5/5)))*$B$8)*(1+C$43))/($B$47-C$43))/(1+$B$47)^5))-$B$19+$B$18)/$B$20</f>
        <v/>
      </c>
      <c r="D47" s="20">
        <f>((((($F$12*(1+($B$7+(D$43-$B$7)*1/5)))*$B$8)/(1+$B$47)^1)+((($F$12*(1+($B$7+(D$43-$B$7)*1/5))*(1+($B$7+(D$43-$B$7)*2/5)))*$B$8)/(1+$B$47)^2)+((($F$12*(1+($B$7+(D$43-$B$7)*1/5))*(1+($B$7+(D$43-$B$7)*2/5))*(1+($B$7+(D$43-$B$7)*3/5)))*$B$8)/(1+$B$47)^3)+((($F$12*(1+($B$7+(D$43-$B$7)*1/5))*(1+($B$7+(D$43-$B$7)*2/5))*(1+($B$7+(D$43-$B$7)*3/5))*(1+($B$7+(D$43-$B$7)*4/5)))*$B$8)/(1+$B$47)^4)+((($F$12*(1+($B$7+(D$43-$B$7)*1/5))*(1+($B$7+(D$43-$B$7)*2/5))*(1+($B$7+(D$43-$B$7)*3/5))*(1+($B$7+(D$43-$B$7)*4/5))*(1+($B$7+(D$43-$B$7)*5/5)))*$B$8)/(1+$B$47)^5)+((((($F$12*(1+($B$7+(D$43-$B$7)*1/5))*(1+($B$7+(D$43-$B$7)*2/5))*(1+($B$7+(D$43-$B$7)*3/5))*(1+($B$7+(D$43-$B$7)*4/5))*(1+($B$7+(D$43-$B$7)*5/5)))*$B$8)*(1+D$43))/($B$47-D$43))/(1+$B$47)^5))-$B$19+$B$18)/$B$20</f>
        <v/>
      </c>
      <c r="E47" s="20">
        <f>((((($F$12*(1+($B$7+(E$43-$B$7)*1/5)))*$B$8)/(1+$B$47)^1)+((($F$12*(1+($B$7+(E$43-$B$7)*1/5))*(1+($B$7+(E$43-$B$7)*2/5)))*$B$8)/(1+$B$47)^2)+((($F$12*(1+($B$7+(E$43-$B$7)*1/5))*(1+($B$7+(E$43-$B$7)*2/5))*(1+($B$7+(E$43-$B$7)*3/5)))*$B$8)/(1+$B$47)^3)+((($F$12*(1+($B$7+(E$43-$B$7)*1/5))*(1+($B$7+(E$43-$B$7)*2/5))*(1+($B$7+(E$43-$B$7)*3/5))*(1+($B$7+(E$43-$B$7)*4/5)))*$B$8)/(1+$B$47)^4)+((($F$12*(1+($B$7+(E$43-$B$7)*1/5))*(1+($B$7+(E$43-$B$7)*2/5))*(1+($B$7+(E$43-$B$7)*3/5))*(1+($B$7+(E$43-$B$7)*4/5))*(1+($B$7+(E$43-$B$7)*5/5)))*$B$8)/(1+$B$47)^5)+((((($F$12*(1+($B$7+(E$43-$B$7)*1/5))*(1+($B$7+(E$43-$B$7)*2/5))*(1+($B$7+(E$43-$B$7)*3/5))*(1+($B$7+(E$43-$B$7)*4/5))*(1+($B$7+(E$43-$B$7)*5/5)))*$B$8)*(1+E$43))/($B$47-E$43))/(1+$B$47)^5))-$B$19+$B$18)/$B$20</f>
        <v/>
      </c>
      <c r="F47" s="20">
        <f>((((($F$12*(1+($B$7+(F$43-$B$7)*1/5)))*$B$8)/(1+$B$47)^1)+((($F$12*(1+($B$7+(F$43-$B$7)*1/5))*(1+($B$7+(F$43-$B$7)*2/5)))*$B$8)/(1+$B$47)^2)+((($F$12*(1+($B$7+(F$43-$B$7)*1/5))*(1+($B$7+(F$43-$B$7)*2/5))*(1+($B$7+(F$43-$B$7)*3/5)))*$B$8)/(1+$B$47)^3)+((($F$12*(1+($B$7+(F$43-$B$7)*1/5))*(1+($B$7+(F$43-$B$7)*2/5))*(1+($B$7+(F$43-$B$7)*3/5))*(1+($B$7+(F$43-$B$7)*4/5)))*$B$8)/(1+$B$47)^4)+((($F$12*(1+($B$7+(F$43-$B$7)*1/5))*(1+($B$7+(F$43-$B$7)*2/5))*(1+($B$7+(F$43-$B$7)*3/5))*(1+($B$7+(F$43-$B$7)*4/5))*(1+($B$7+(F$43-$B$7)*5/5)))*$B$8)/(1+$B$47)^5)+((((($F$12*(1+($B$7+(F$43-$B$7)*1/5))*(1+($B$7+(F$43-$B$7)*2/5))*(1+($B$7+(F$43-$B$7)*3/5))*(1+($B$7+(F$43-$B$7)*4/5))*(1+($B$7+(F$43-$B$7)*5/5)))*$B$8)*(1+F$43))/($B$47-F$43))/(1+$B$47)^5))-$B$19+$B$18)/$B$20</f>
        <v/>
      </c>
      <c r="G47" s="20">
        <f>((((($F$12*(1+($B$7+(G$43-$B$7)*1/5)))*$B$8)/(1+$B$47)^1)+((($F$12*(1+($B$7+(G$43-$B$7)*1/5))*(1+($B$7+(G$43-$B$7)*2/5)))*$B$8)/(1+$B$47)^2)+((($F$12*(1+($B$7+(G$43-$B$7)*1/5))*(1+($B$7+(G$43-$B$7)*2/5))*(1+($B$7+(G$43-$B$7)*3/5)))*$B$8)/(1+$B$47)^3)+((($F$12*(1+($B$7+(G$43-$B$7)*1/5))*(1+($B$7+(G$43-$B$7)*2/5))*(1+($B$7+(G$43-$B$7)*3/5))*(1+($B$7+(G$43-$B$7)*4/5)))*$B$8)/(1+$B$47)^4)+((($F$12*(1+($B$7+(G$43-$B$7)*1/5))*(1+($B$7+(G$43-$B$7)*2/5))*(1+($B$7+(G$43-$B$7)*3/5))*(1+($B$7+(G$43-$B$7)*4/5))*(1+($B$7+(G$43-$B$7)*5/5)))*$B$8)/(1+$B$47)^5)+((((($F$12*(1+($B$7+(G$43-$B$7)*1/5))*(1+($B$7+(G$43-$B$7)*2/5))*(1+($B$7+(G$43-$B$7)*3/5))*(1+($B$7+(G$43-$B$7)*4/5))*(1+($B$7+(G$43-$B$7)*5/5)))*$B$8)*(1+G$43))/($B$47-G$43))/(1+$B$47)^5))-$B$19+$B$18)/$B$20</f>
        <v/>
      </c>
    </row>
    <row r="48">
      <c r="B48" s="19" t="n">
        <v>0.12</v>
      </c>
      <c r="C48" s="20">
        <f>((((($F$12*(1+($B$7+(C$43-$B$7)*1/5)))*$B$8)/(1+$B$48)^1)+((($F$12*(1+($B$7+(C$43-$B$7)*1/5))*(1+($B$7+(C$43-$B$7)*2/5)))*$B$8)/(1+$B$48)^2)+((($F$12*(1+($B$7+(C$43-$B$7)*1/5))*(1+($B$7+(C$43-$B$7)*2/5))*(1+($B$7+(C$43-$B$7)*3/5)))*$B$8)/(1+$B$48)^3)+((($F$12*(1+($B$7+(C$43-$B$7)*1/5))*(1+($B$7+(C$43-$B$7)*2/5))*(1+($B$7+(C$43-$B$7)*3/5))*(1+($B$7+(C$43-$B$7)*4/5)))*$B$8)/(1+$B$48)^4)+((($F$12*(1+($B$7+(C$43-$B$7)*1/5))*(1+($B$7+(C$43-$B$7)*2/5))*(1+($B$7+(C$43-$B$7)*3/5))*(1+($B$7+(C$43-$B$7)*4/5))*(1+($B$7+(C$43-$B$7)*5/5)))*$B$8)/(1+$B$48)^5)+((((($F$12*(1+($B$7+(C$43-$B$7)*1/5))*(1+($B$7+(C$43-$B$7)*2/5))*(1+($B$7+(C$43-$B$7)*3/5))*(1+($B$7+(C$43-$B$7)*4/5))*(1+($B$7+(C$43-$B$7)*5/5)))*$B$8)*(1+C$43))/($B$48-C$43))/(1+$B$48)^5))-$B$19+$B$18)/$B$20</f>
        <v/>
      </c>
      <c r="D48" s="20">
        <f>((((($F$12*(1+($B$7+(D$43-$B$7)*1/5)))*$B$8)/(1+$B$48)^1)+((($F$12*(1+($B$7+(D$43-$B$7)*1/5))*(1+($B$7+(D$43-$B$7)*2/5)))*$B$8)/(1+$B$48)^2)+((($F$12*(1+($B$7+(D$43-$B$7)*1/5))*(1+($B$7+(D$43-$B$7)*2/5))*(1+($B$7+(D$43-$B$7)*3/5)))*$B$8)/(1+$B$48)^3)+((($F$12*(1+($B$7+(D$43-$B$7)*1/5))*(1+($B$7+(D$43-$B$7)*2/5))*(1+($B$7+(D$43-$B$7)*3/5))*(1+($B$7+(D$43-$B$7)*4/5)))*$B$8)/(1+$B$48)^4)+((($F$12*(1+($B$7+(D$43-$B$7)*1/5))*(1+($B$7+(D$43-$B$7)*2/5))*(1+($B$7+(D$43-$B$7)*3/5))*(1+($B$7+(D$43-$B$7)*4/5))*(1+($B$7+(D$43-$B$7)*5/5)))*$B$8)/(1+$B$48)^5)+((((($F$12*(1+($B$7+(D$43-$B$7)*1/5))*(1+($B$7+(D$43-$B$7)*2/5))*(1+($B$7+(D$43-$B$7)*3/5))*(1+($B$7+(D$43-$B$7)*4/5))*(1+($B$7+(D$43-$B$7)*5/5)))*$B$8)*(1+D$43))/($B$48-D$43))/(1+$B$48)^5))-$B$19+$B$18)/$B$20</f>
        <v/>
      </c>
      <c r="E48" s="20">
        <f>((((($F$12*(1+($B$7+(E$43-$B$7)*1/5)))*$B$8)/(1+$B$48)^1)+((($F$12*(1+($B$7+(E$43-$B$7)*1/5))*(1+($B$7+(E$43-$B$7)*2/5)))*$B$8)/(1+$B$48)^2)+((($F$12*(1+($B$7+(E$43-$B$7)*1/5))*(1+($B$7+(E$43-$B$7)*2/5))*(1+($B$7+(E$43-$B$7)*3/5)))*$B$8)/(1+$B$48)^3)+((($F$12*(1+($B$7+(E$43-$B$7)*1/5))*(1+($B$7+(E$43-$B$7)*2/5))*(1+($B$7+(E$43-$B$7)*3/5))*(1+($B$7+(E$43-$B$7)*4/5)))*$B$8)/(1+$B$48)^4)+((($F$12*(1+($B$7+(E$43-$B$7)*1/5))*(1+($B$7+(E$43-$B$7)*2/5))*(1+($B$7+(E$43-$B$7)*3/5))*(1+($B$7+(E$43-$B$7)*4/5))*(1+($B$7+(E$43-$B$7)*5/5)))*$B$8)/(1+$B$48)^5)+((((($F$12*(1+($B$7+(E$43-$B$7)*1/5))*(1+($B$7+(E$43-$B$7)*2/5))*(1+($B$7+(E$43-$B$7)*3/5))*(1+($B$7+(E$43-$B$7)*4/5))*(1+($B$7+(E$43-$B$7)*5/5)))*$B$8)*(1+E$43))/($B$48-E$43))/(1+$B$48)^5))-$B$19+$B$18)/$B$20</f>
        <v/>
      </c>
      <c r="F48" s="20">
        <f>((((($F$12*(1+($B$7+(F$43-$B$7)*1/5)))*$B$8)/(1+$B$48)^1)+((($F$12*(1+($B$7+(F$43-$B$7)*1/5))*(1+($B$7+(F$43-$B$7)*2/5)))*$B$8)/(1+$B$48)^2)+((($F$12*(1+($B$7+(F$43-$B$7)*1/5))*(1+($B$7+(F$43-$B$7)*2/5))*(1+($B$7+(F$43-$B$7)*3/5)))*$B$8)/(1+$B$48)^3)+((($F$12*(1+($B$7+(F$43-$B$7)*1/5))*(1+($B$7+(F$43-$B$7)*2/5))*(1+($B$7+(F$43-$B$7)*3/5))*(1+($B$7+(F$43-$B$7)*4/5)))*$B$8)/(1+$B$48)^4)+((($F$12*(1+($B$7+(F$43-$B$7)*1/5))*(1+($B$7+(F$43-$B$7)*2/5))*(1+($B$7+(F$43-$B$7)*3/5))*(1+($B$7+(F$43-$B$7)*4/5))*(1+($B$7+(F$43-$B$7)*5/5)))*$B$8)/(1+$B$48)^5)+((((($F$12*(1+($B$7+(F$43-$B$7)*1/5))*(1+($B$7+(F$43-$B$7)*2/5))*(1+($B$7+(F$43-$B$7)*3/5))*(1+($B$7+(F$43-$B$7)*4/5))*(1+($B$7+(F$43-$B$7)*5/5)))*$B$8)*(1+F$43))/($B$48-F$43))/(1+$B$48)^5))-$B$19+$B$18)/$B$20</f>
        <v/>
      </c>
      <c r="G48" s="20">
        <f>((((($F$12*(1+($B$7+(G$43-$B$7)*1/5)))*$B$8)/(1+$B$48)^1)+((($F$12*(1+($B$7+(G$43-$B$7)*1/5))*(1+($B$7+(G$43-$B$7)*2/5)))*$B$8)/(1+$B$48)^2)+((($F$12*(1+($B$7+(G$43-$B$7)*1/5))*(1+($B$7+(G$43-$B$7)*2/5))*(1+($B$7+(G$43-$B$7)*3/5)))*$B$8)/(1+$B$48)^3)+((($F$12*(1+($B$7+(G$43-$B$7)*1/5))*(1+($B$7+(G$43-$B$7)*2/5))*(1+($B$7+(G$43-$B$7)*3/5))*(1+($B$7+(G$43-$B$7)*4/5)))*$B$8)/(1+$B$48)^4)+((($F$12*(1+($B$7+(G$43-$B$7)*1/5))*(1+($B$7+(G$43-$B$7)*2/5))*(1+($B$7+(G$43-$B$7)*3/5))*(1+($B$7+(G$43-$B$7)*4/5))*(1+($B$7+(G$43-$B$7)*5/5)))*$B$8)/(1+$B$48)^5)+((((($F$12*(1+($B$7+(G$43-$B$7)*1/5))*(1+($B$7+(G$43-$B$7)*2/5))*(1+($B$7+(G$43-$B$7)*3/5))*(1+($B$7+(G$43-$B$7)*4/5))*(1+($B$7+(G$43-$B$7)*5/5)))*$B$8)*(1+G$43))/($B$48-G$43))/(1+$B$48)^5))-$B$19+$B$18)/$B$20</f>
        <v/>
      </c>
    </row>
    <row r="50">
      <c r="A50" s="3" t="inlineStr">
        <is>
          <t>Tornado Inputs (other variable held at its base case)</t>
        </is>
      </c>
      <c r="B50" s="12" t="n"/>
      <c r="C50" s="12" t="n"/>
      <c r="D50" s="12" t="n"/>
      <c r="E50" s="12" t="n"/>
      <c r="F50" s="12" t="n"/>
      <c r="G50" s="12" t="n"/>
    </row>
    <row r="51">
      <c r="A51" s="17" t="inlineStr">
        <is>
          <t>Factor</t>
        </is>
      </c>
      <c r="B51" s="17" t="inlineStr">
        <is>
          <t>Low</t>
        </is>
      </c>
      <c r="C51" s="17" t="inlineStr">
        <is>
          <t>High</t>
        </is>
      </c>
      <c r="D51" s="17" t="inlineStr">
        <is>
          <t>Base (chart helper)</t>
        </is>
      </c>
      <c r="E51" s="17" t="inlineStr">
        <is>
          <t>Span (chart helper)</t>
        </is>
      </c>
    </row>
    <row r="52">
      <c r="A52" s="4" t="inlineStr">
        <is>
          <t>WACC (8% → 12%)</t>
        </is>
      </c>
      <c r="B52" s="8">
        <f>E44</f>
        <v/>
      </c>
      <c r="C52" s="8">
        <f>E48</f>
        <v/>
      </c>
      <c r="D52" s="8">
        <f>MIN(B52,C52)</f>
        <v/>
      </c>
      <c r="E52" s="8">
        <f>ABS(C52-B52)</f>
        <v/>
      </c>
    </row>
    <row r="53">
      <c r="A53" s="4" t="inlineStr">
        <is>
          <t>Terminal growth (2% → 4%)</t>
        </is>
      </c>
      <c r="B53" s="8">
        <f>C46</f>
        <v/>
      </c>
      <c r="C53" s="8">
        <f>G46</f>
        <v/>
      </c>
      <c r="D53" s="8">
        <f>MIN(B53,C53)</f>
        <v/>
      </c>
      <c r="E53" s="8">
        <f>ABS(C53-B53)</f>
        <v/>
      </c>
    </row>
  </sheetData>
  <conditionalFormatting sqref="C44:G4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ADBE — Adobe Inc.</t>
        </is>
      </c>
    </row>
    <row r="2">
      <c r="A2" s="4" t="inlineStr">
        <is>
          <t>Unlevered DCF | $ in millions except per-share and share count</t>
        </is>
      </c>
    </row>
    <row r="4">
      <c r="A4" s="3" t="inlineStr">
        <is>
          <t>Assumptions (edit the highlighted cells)</t>
        </is>
      </c>
      <c r="B4" s="12" t="n"/>
      <c r="C4" s="12" t="n"/>
      <c r="D4" s="12" t="n"/>
      <c r="E4" s="12" t="n"/>
      <c r="F4" s="12" t="n"/>
      <c r="G4" s="12" t="n"/>
    </row>
    <row r="5">
      <c r="A5" s="4" t="inlineStr">
        <is>
          <t>WACC (discount rate)</t>
        </is>
      </c>
      <c r="B5" s="13" t="n">
        <v>0.1</v>
      </c>
    </row>
    <row r="6">
      <c r="A6" s="4" t="inlineStr">
        <is>
          <t>Terminal growth rate</t>
        </is>
      </c>
      <c r="B6" s="13" t="n">
        <v>0.03</v>
      </c>
    </row>
    <row r="7">
      <c r="A7" s="4" t="inlineStr">
        <is>
          <t>Starting revenue growth rate</t>
        </is>
      </c>
      <c r="B7" s="13" t="n">
        <v>0.1052778423622414</v>
      </c>
      <c r="C7" s="2" t="inlineStr">
        <is>
          <t>default: most recent YoY revenue growth</t>
        </is>
      </c>
    </row>
    <row r="8">
      <c r="A8" s="4" t="inlineStr">
        <is>
          <t>Unlevered FCF margin (% of revenue)</t>
        </is>
      </c>
      <c r="B8" s="13" t="n">
        <v>0.3902951839142986</v>
      </c>
      <c r="C8" s="2" t="inlineStr">
        <is>
          <t>default: avg of last 2 fiscal years' FCF / revenue</t>
        </is>
      </c>
    </row>
    <row r="10">
      <c r="A10" s="3" t="inlineStr">
        <is>
          <t>Historical Trend ($ in millions)</t>
        </is>
      </c>
      <c r="B10" s="12" t="n"/>
      <c r="C10" s="12" t="n"/>
      <c r="D10" s="12" t="n"/>
      <c r="E10" s="12" t="n"/>
      <c r="F10" s="12" t="n"/>
      <c r="G10" s="12" t="n"/>
    </row>
    <row r="11">
      <c r="A11" s="4" t="inlineStr">
        <is>
          <t>Fiscal year</t>
        </is>
      </c>
      <c r="B11" s="14" t="n">
        <v>2021</v>
      </c>
      <c r="C11" s="14" t="n">
        <v>2022</v>
      </c>
      <c r="D11" s="14" t="n">
        <v>2023</v>
      </c>
      <c r="E11" s="14" t="n">
        <v>2024</v>
      </c>
      <c r="F11" s="14" t="n">
        <v>2025</v>
      </c>
    </row>
    <row r="12">
      <c r="A12" s="4" t="inlineStr">
        <is>
          <t>Revenue</t>
        </is>
      </c>
      <c r="B12" s="6" t="n">
        <v>15785</v>
      </c>
      <c r="C12" s="6" t="n">
        <v>17606</v>
      </c>
      <c r="D12" s="6" t="n">
        <v>19409</v>
      </c>
      <c r="E12" s="6" t="n">
        <v>21505</v>
      </c>
      <c r="F12" s="6" t="n">
        <v>23769</v>
      </c>
    </row>
    <row r="13">
      <c r="A13" s="4" t="inlineStr">
        <is>
          <t>Revenue growth %</t>
        </is>
      </c>
      <c r="C13" s="5">
        <f>C12/B12-1</f>
        <v/>
      </c>
      <c r="D13" s="5">
        <f>D12/C12-1</f>
        <v/>
      </c>
      <c r="E13" s="5">
        <f>E12/D12-1</f>
        <v/>
      </c>
      <c r="F13" s="5">
        <f>F12/E12-1</f>
        <v/>
      </c>
    </row>
    <row r="14">
      <c r="A14" s="4" t="inlineStr">
        <is>
          <t>Free cash flow</t>
        </is>
      </c>
      <c r="B14" s="6" t="n">
        <v>6882</v>
      </c>
      <c r="C14" s="6" t="n">
        <v>7396</v>
      </c>
      <c r="D14" s="6" t="n">
        <v>6942</v>
      </c>
      <c r="E14" s="6" t="n">
        <v>7873</v>
      </c>
      <c r="F14" s="6" t="n">
        <v>9852</v>
      </c>
    </row>
    <row r="15">
      <c r="A15" s="4" t="inlineStr">
        <is>
          <t>FCF margin %</t>
        </is>
      </c>
      <c r="B15" s="5">
        <f>B14/B12</f>
        <v/>
      </c>
      <c r="C15" s="5">
        <f>C14/C12</f>
        <v/>
      </c>
      <c r="D15" s="5">
        <f>D14/D12</f>
        <v/>
      </c>
      <c r="E15" s="5">
        <f>E14/E12</f>
        <v/>
      </c>
      <c r="F15" s="5">
        <f>F14/F12</f>
        <v/>
      </c>
    </row>
    <row r="17">
      <c r="A17" s="3" t="inlineStr">
        <is>
          <t>Balance Sheet Actuals — FY2025 ($ in millions)</t>
        </is>
      </c>
      <c r="B17" s="12" t="n"/>
      <c r="C17" s="12" t="n"/>
      <c r="D17" s="12" t="n"/>
      <c r="E17" s="12" t="n"/>
      <c r="F17" s="12" t="n"/>
      <c r="G17" s="12" t="n"/>
    </row>
    <row r="18">
      <c r="A18" s="4" t="inlineStr">
        <is>
          <t>Cash &amp; equivalents</t>
        </is>
      </c>
      <c r="B18" s="6" t="n">
        <v>5431</v>
      </c>
    </row>
    <row r="19">
      <c r="A19" s="4" t="inlineStr">
        <is>
          <t>Total debt</t>
        </is>
      </c>
      <c r="B19" s="6" t="n">
        <v>6210</v>
      </c>
    </row>
    <row r="20">
      <c r="A20" s="4" t="inlineStr">
        <is>
          <t>Diluted shares outstanding (millions)</t>
        </is>
      </c>
      <c r="B20" s="6" t="n">
        <v>427</v>
      </c>
    </row>
    <row r="22">
      <c r="A22" s="3" t="inlineStr">
        <is>
          <t>5-Year Projection ($ in millions)</t>
        </is>
      </c>
      <c r="B22" s="12" t="n"/>
      <c r="C22" s="12" t="n"/>
      <c r="D22" s="12" t="n"/>
      <c r="E22" s="12" t="n"/>
      <c r="F22" s="12" t="n"/>
      <c r="G22" s="12" t="n"/>
    </row>
    <row r="23">
      <c r="A23" s="4" t="inlineStr">
        <is>
          <t>Fiscal year</t>
        </is>
      </c>
      <c r="B23" s="14" t="inlineStr">
        <is>
          <t>FY2026E</t>
        </is>
      </c>
      <c r="C23" s="14" t="inlineStr">
        <is>
          <t>FY2027E</t>
        </is>
      </c>
      <c r="D23" s="14" t="inlineStr">
        <is>
          <t>FY2028E</t>
        </is>
      </c>
      <c r="E23" s="14" t="inlineStr">
        <is>
          <t>FY2029E</t>
        </is>
      </c>
      <c r="F23" s="14" t="inlineStr">
        <is>
          <t>FY2030E</t>
        </is>
      </c>
    </row>
    <row r="24">
      <c r="A24" s="4" t="inlineStr">
        <is>
          <t>Revenue growth rate</t>
        </is>
      </c>
      <c r="B24" s="5">
        <f>$B$7+($B$6-$B$7)*1/5</f>
        <v/>
      </c>
      <c r="C24" s="5">
        <f>$B$7+($B$6-$B$7)*2/5</f>
        <v/>
      </c>
      <c r="D24" s="5">
        <f>$B$7+($B$6-$B$7)*3/5</f>
        <v/>
      </c>
      <c r="E24" s="5">
        <f>$B$7+($B$6-$B$7)*4/5</f>
        <v/>
      </c>
      <c r="F24" s="5">
        <f>$B$7+($B$6-$B$7)*5/5</f>
        <v/>
      </c>
    </row>
    <row r="25">
      <c r="A25" s="4" t="inlineStr">
        <is>
          <t>Projected revenue</t>
        </is>
      </c>
      <c r="B25" s="6">
        <f>F12*(1+B24)</f>
        <v/>
      </c>
      <c r="C25" s="6">
        <f>B25*(1+C24)</f>
        <v/>
      </c>
      <c r="D25" s="6">
        <f>C25*(1+D24)</f>
        <v/>
      </c>
      <c r="E25" s="6">
        <f>D25*(1+E24)</f>
        <v/>
      </c>
      <c r="F25" s="6">
        <f>E25*(1+F24)</f>
        <v/>
      </c>
    </row>
    <row r="26">
      <c r="A26" s="4" t="inlineStr">
        <is>
          <t>FCF margin (assumption, held flat)</t>
        </is>
      </c>
      <c r="B26" s="5">
        <f>$B$8</f>
        <v/>
      </c>
      <c r="C26" s="5">
        <f>$B$8</f>
        <v/>
      </c>
      <c r="D26" s="5">
        <f>$B$8</f>
        <v/>
      </c>
      <c r="E26" s="5">
        <f>$B$8</f>
        <v/>
      </c>
      <c r="F26" s="5">
        <f>$B$8</f>
        <v/>
      </c>
    </row>
    <row r="27">
      <c r="A27" s="4" t="inlineStr">
        <is>
          <t>Projected unlevered FCF</t>
        </is>
      </c>
      <c r="B27" s="6">
        <f>B25*B26</f>
        <v/>
      </c>
      <c r="C27" s="6">
        <f>C25*C26</f>
        <v/>
      </c>
      <c r="D27" s="6">
        <f>D25*D26</f>
        <v/>
      </c>
      <c r="E27" s="6">
        <f>E25*E26</f>
        <v/>
      </c>
      <c r="F27" s="6">
        <f>F25*F26</f>
        <v/>
      </c>
    </row>
    <row r="28">
      <c r="A28" s="4" t="inlineStr">
        <is>
          <t>Discount factor</t>
        </is>
      </c>
      <c r="B28" s="15">
        <f>1/(1+$B$5)^1</f>
        <v/>
      </c>
      <c r="C28" s="15">
        <f>1/(1+$B$5)^2</f>
        <v/>
      </c>
      <c r="D28" s="15">
        <f>1/(1+$B$5)^3</f>
        <v/>
      </c>
      <c r="E28" s="15">
        <f>1/(1+$B$5)^4</f>
        <v/>
      </c>
      <c r="F28" s="15">
        <f>1/(1+$B$5)^5</f>
        <v/>
      </c>
    </row>
    <row r="29">
      <c r="A29" s="4" t="inlineStr">
        <is>
          <t>PV of FCF</t>
        </is>
      </c>
      <c r="B29" s="6">
        <f>B27*B28</f>
        <v/>
      </c>
      <c r="C29" s="6">
        <f>C27*C28</f>
        <v/>
      </c>
      <c r="D29" s="6">
        <f>D27*D28</f>
        <v/>
      </c>
      <c r="E29" s="6">
        <f>E27*E28</f>
        <v/>
      </c>
      <c r="F29" s="6">
        <f>F27*F28</f>
        <v/>
      </c>
    </row>
    <row r="31">
      <c r="A31" s="3" t="inlineStr">
        <is>
          <t>Terminal Value &amp; Valuation</t>
        </is>
      </c>
      <c r="B31" s="12" t="n"/>
      <c r="C31" s="12" t="n"/>
      <c r="D31" s="12" t="n"/>
      <c r="E31" s="12" t="n"/>
      <c r="F31" s="12" t="n"/>
      <c r="G31" s="12" t="n"/>
    </row>
    <row r="32">
      <c r="A32" s="4" t="inlineStr">
        <is>
          <t>Terminal value (end of FY2030)</t>
        </is>
      </c>
      <c r="B32" s="6">
        <f>F27*(1+$B$6)/($B$5-$B$6)</f>
        <v/>
      </c>
    </row>
    <row r="33">
      <c r="A33" s="4" t="inlineStr">
        <is>
          <t>PV of terminal value</t>
        </is>
      </c>
      <c r="B33" s="6">
        <f>B32*F28</f>
        <v/>
      </c>
    </row>
    <row r="34">
      <c r="A34" s="4" t="inlineStr">
        <is>
          <t>Sum of PV of projected FCFs</t>
        </is>
      </c>
      <c r="B34" s="6">
        <f>SUM(B29:F29)</f>
        <v/>
      </c>
    </row>
    <row r="35">
      <c r="A35" s="4" t="inlineStr">
        <is>
          <t>Enterprise value</t>
        </is>
      </c>
      <c r="B35" s="16">
        <f>B33+B34</f>
        <v/>
      </c>
    </row>
    <row r="36">
      <c r="A36" s="4" t="inlineStr">
        <is>
          <t>Less: total debt</t>
        </is>
      </c>
      <c r="B36" s="6">
        <f>-B19</f>
        <v/>
      </c>
    </row>
    <row r="37">
      <c r="A37" s="4" t="inlineStr">
        <is>
          <t>Plus: cash &amp; equivalents</t>
        </is>
      </c>
      <c r="B37" s="6">
        <f>B18</f>
        <v/>
      </c>
    </row>
    <row r="38">
      <c r="A38" s="4" t="inlineStr">
        <is>
          <t>Equity value</t>
        </is>
      </c>
      <c r="B38" s="16">
        <f>B35+B36+B37</f>
        <v/>
      </c>
    </row>
    <row r="39">
      <c r="A39" s="4" t="inlineStr">
        <is>
          <t>Diluted shares outstanding (millions)</t>
        </is>
      </c>
      <c r="B39" s="6">
        <f>B20</f>
        <v/>
      </c>
    </row>
    <row r="40">
      <c r="A40" s="4" t="inlineStr">
        <is>
          <t>Implied value per share</t>
        </is>
      </c>
      <c r="B40" s="7">
        <f>B38/B39</f>
        <v/>
      </c>
    </row>
    <row r="42">
      <c r="A42" s="3" t="inlineStr">
        <is>
          <t>Sensitivity: Implied Value/Share (WACC x Terminal Growth)</t>
        </is>
      </c>
      <c r="B42" s="12" t="n"/>
      <c r="C42" s="12" t="n"/>
      <c r="D42" s="12" t="n"/>
      <c r="E42" s="12" t="n"/>
      <c r="F42" s="12" t="n"/>
      <c r="G42" s="12" t="n"/>
    </row>
    <row r="43">
      <c r="B43" s="17" t="inlineStr">
        <is>
          <t>WACC \ Term. g</t>
        </is>
      </c>
      <c r="C43" s="18" t="n">
        <v>0.02</v>
      </c>
      <c r="D43" s="18" t="n">
        <v>0.025</v>
      </c>
      <c r="E43" s="18" t="n">
        <v>0.03</v>
      </c>
      <c r="F43" s="18" t="n">
        <v>0.035</v>
      </c>
      <c r="G43" s="18" t="n">
        <v>0.04</v>
      </c>
    </row>
    <row r="44">
      <c r="B44" s="19" t="n">
        <v>0.08</v>
      </c>
      <c r="C44" s="20">
        <f>((((($F$12*(1+($B$7+(C$43-$B$7)*1/5)))*$B$8)/(1+$B$44)^1)+((($F$12*(1+($B$7+(C$43-$B$7)*1/5))*(1+($B$7+(C$43-$B$7)*2/5)))*$B$8)/(1+$B$44)^2)+((($F$12*(1+($B$7+(C$43-$B$7)*1/5))*(1+($B$7+(C$43-$B$7)*2/5))*(1+($B$7+(C$43-$B$7)*3/5)))*$B$8)/(1+$B$44)^3)+((($F$12*(1+($B$7+(C$43-$B$7)*1/5))*(1+($B$7+(C$43-$B$7)*2/5))*(1+($B$7+(C$43-$B$7)*3/5))*(1+($B$7+(C$43-$B$7)*4/5)))*$B$8)/(1+$B$44)^4)+((($F$12*(1+($B$7+(C$43-$B$7)*1/5))*(1+($B$7+(C$43-$B$7)*2/5))*(1+($B$7+(C$43-$B$7)*3/5))*(1+($B$7+(C$43-$B$7)*4/5))*(1+($B$7+(C$43-$B$7)*5/5)))*$B$8)/(1+$B$44)^5)+((((($F$12*(1+($B$7+(C$43-$B$7)*1/5))*(1+($B$7+(C$43-$B$7)*2/5))*(1+($B$7+(C$43-$B$7)*3/5))*(1+($B$7+(C$43-$B$7)*4/5))*(1+($B$7+(C$43-$B$7)*5/5)))*$B$8)*(1+C$43))/($B$44-C$43))/(1+$B$44)^5))-$B$19+$B$18)/$B$20</f>
        <v/>
      </c>
      <c r="D44" s="20">
        <f>((((($F$12*(1+($B$7+(D$43-$B$7)*1/5)))*$B$8)/(1+$B$44)^1)+((($F$12*(1+($B$7+(D$43-$B$7)*1/5))*(1+($B$7+(D$43-$B$7)*2/5)))*$B$8)/(1+$B$44)^2)+((($F$12*(1+($B$7+(D$43-$B$7)*1/5))*(1+($B$7+(D$43-$B$7)*2/5))*(1+($B$7+(D$43-$B$7)*3/5)))*$B$8)/(1+$B$44)^3)+((($F$12*(1+($B$7+(D$43-$B$7)*1/5))*(1+($B$7+(D$43-$B$7)*2/5))*(1+($B$7+(D$43-$B$7)*3/5))*(1+($B$7+(D$43-$B$7)*4/5)))*$B$8)/(1+$B$44)^4)+((($F$12*(1+($B$7+(D$43-$B$7)*1/5))*(1+($B$7+(D$43-$B$7)*2/5))*(1+($B$7+(D$43-$B$7)*3/5))*(1+($B$7+(D$43-$B$7)*4/5))*(1+($B$7+(D$43-$B$7)*5/5)))*$B$8)/(1+$B$44)^5)+((((($F$12*(1+($B$7+(D$43-$B$7)*1/5))*(1+($B$7+(D$43-$B$7)*2/5))*(1+($B$7+(D$43-$B$7)*3/5))*(1+($B$7+(D$43-$B$7)*4/5))*(1+($B$7+(D$43-$B$7)*5/5)))*$B$8)*(1+D$43))/($B$44-D$43))/(1+$B$44)^5))-$B$19+$B$18)/$B$20</f>
        <v/>
      </c>
      <c r="E44" s="20">
        <f>((((($F$12*(1+($B$7+(E$43-$B$7)*1/5)))*$B$8)/(1+$B$44)^1)+((($F$12*(1+($B$7+(E$43-$B$7)*1/5))*(1+($B$7+(E$43-$B$7)*2/5)))*$B$8)/(1+$B$44)^2)+((($F$12*(1+($B$7+(E$43-$B$7)*1/5))*(1+($B$7+(E$43-$B$7)*2/5))*(1+($B$7+(E$43-$B$7)*3/5)))*$B$8)/(1+$B$44)^3)+((($F$12*(1+($B$7+(E$43-$B$7)*1/5))*(1+($B$7+(E$43-$B$7)*2/5))*(1+($B$7+(E$43-$B$7)*3/5))*(1+($B$7+(E$43-$B$7)*4/5)))*$B$8)/(1+$B$44)^4)+((($F$12*(1+($B$7+(E$43-$B$7)*1/5))*(1+($B$7+(E$43-$B$7)*2/5))*(1+($B$7+(E$43-$B$7)*3/5))*(1+($B$7+(E$43-$B$7)*4/5))*(1+($B$7+(E$43-$B$7)*5/5)))*$B$8)/(1+$B$44)^5)+((((($F$12*(1+($B$7+(E$43-$B$7)*1/5))*(1+($B$7+(E$43-$B$7)*2/5))*(1+($B$7+(E$43-$B$7)*3/5))*(1+($B$7+(E$43-$B$7)*4/5))*(1+($B$7+(E$43-$B$7)*5/5)))*$B$8)*(1+E$43))/($B$44-E$43))/(1+$B$44)^5))-$B$19+$B$18)/$B$20</f>
        <v/>
      </c>
      <c r="F44" s="20">
        <f>((((($F$12*(1+($B$7+(F$43-$B$7)*1/5)))*$B$8)/(1+$B$44)^1)+((($F$12*(1+($B$7+(F$43-$B$7)*1/5))*(1+($B$7+(F$43-$B$7)*2/5)))*$B$8)/(1+$B$44)^2)+((($F$12*(1+($B$7+(F$43-$B$7)*1/5))*(1+($B$7+(F$43-$B$7)*2/5))*(1+($B$7+(F$43-$B$7)*3/5)))*$B$8)/(1+$B$44)^3)+((($F$12*(1+($B$7+(F$43-$B$7)*1/5))*(1+($B$7+(F$43-$B$7)*2/5))*(1+($B$7+(F$43-$B$7)*3/5))*(1+($B$7+(F$43-$B$7)*4/5)))*$B$8)/(1+$B$44)^4)+((($F$12*(1+($B$7+(F$43-$B$7)*1/5))*(1+($B$7+(F$43-$B$7)*2/5))*(1+($B$7+(F$43-$B$7)*3/5))*(1+($B$7+(F$43-$B$7)*4/5))*(1+($B$7+(F$43-$B$7)*5/5)))*$B$8)/(1+$B$44)^5)+((((($F$12*(1+($B$7+(F$43-$B$7)*1/5))*(1+($B$7+(F$43-$B$7)*2/5))*(1+($B$7+(F$43-$B$7)*3/5))*(1+($B$7+(F$43-$B$7)*4/5))*(1+($B$7+(F$43-$B$7)*5/5)))*$B$8)*(1+F$43))/($B$44-F$43))/(1+$B$44)^5))-$B$19+$B$18)/$B$20</f>
        <v/>
      </c>
      <c r="G44" s="20">
        <f>((((($F$12*(1+($B$7+(G$43-$B$7)*1/5)))*$B$8)/(1+$B$44)^1)+((($F$12*(1+($B$7+(G$43-$B$7)*1/5))*(1+($B$7+(G$43-$B$7)*2/5)))*$B$8)/(1+$B$44)^2)+((($F$12*(1+($B$7+(G$43-$B$7)*1/5))*(1+($B$7+(G$43-$B$7)*2/5))*(1+($B$7+(G$43-$B$7)*3/5)))*$B$8)/(1+$B$44)^3)+((($F$12*(1+($B$7+(G$43-$B$7)*1/5))*(1+($B$7+(G$43-$B$7)*2/5))*(1+($B$7+(G$43-$B$7)*3/5))*(1+($B$7+(G$43-$B$7)*4/5)))*$B$8)/(1+$B$44)^4)+((($F$12*(1+($B$7+(G$43-$B$7)*1/5))*(1+($B$7+(G$43-$B$7)*2/5))*(1+($B$7+(G$43-$B$7)*3/5))*(1+($B$7+(G$43-$B$7)*4/5))*(1+($B$7+(G$43-$B$7)*5/5)))*$B$8)/(1+$B$44)^5)+((((($F$12*(1+($B$7+(G$43-$B$7)*1/5))*(1+($B$7+(G$43-$B$7)*2/5))*(1+($B$7+(G$43-$B$7)*3/5))*(1+($B$7+(G$43-$B$7)*4/5))*(1+($B$7+(G$43-$B$7)*5/5)))*$B$8)*(1+G$43))/($B$44-G$43))/(1+$B$44)^5))-$B$19+$B$18)/$B$20</f>
        <v/>
      </c>
    </row>
    <row r="45">
      <c r="B45" s="19" t="n">
        <v>0.09</v>
      </c>
      <c r="C45" s="20">
        <f>((((($F$12*(1+($B$7+(C$43-$B$7)*1/5)))*$B$8)/(1+$B$45)^1)+((($F$12*(1+($B$7+(C$43-$B$7)*1/5))*(1+($B$7+(C$43-$B$7)*2/5)))*$B$8)/(1+$B$45)^2)+((($F$12*(1+($B$7+(C$43-$B$7)*1/5))*(1+($B$7+(C$43-$B$7)*2/5))*(1+($B$7+(C$43-$B$7)*3/5)))*$B$8)/(1+$B$45)^3)+((($F$12*(1+($B$7+(C$43-$B$7)*1/5))*(1+($B$7+(C$43-$B$7)*2/5))*(1+($B$7+(C$43-$B$7)*3/5))*(1+($B$7+(C$43-$B$7)*4/5)))*$B$8)/(1+$B$45)^4)+((($F$12*(1+($B$7+(C$43-$B$7)*1/5))*(1+($B$7+(C$43-$B$7)*2/5))*(1+($B$7+(C$43-$B$7)*3/5))*(1+($B$7+(C$43-$B$7)*4/5))*(1+($B$7+(C$43-$B$7)*5/5)))*$B$8)/(1+$B$45)^5)+((((($F$12*(1+($B$7+(C$43-$B$7)*1/5))*(1+($B$7+(C$43-$B$7)*2/5))*(1+($B$7+(C$43-$B$7)*3/5))*(1+($B$7+(C$43-$B$7)*4/5))*(1+($B$7+(C$43-$B$7)*5/5)))*$B$8)*(1+C$43))/($B$45-C$43))/(1+$B$45)^5))-$B$19+$B$18)/$B$20</f>
        <v/>
      </c>
      <c r="D45" s="20">
        <f>((((($F$12*(1+($B$7+(D$43-$B$7)*1/5)))*$B$8)/(1+$B$45)^1)+((($F$12*(1+($B$7+(D$43-$B$7)*1/5))*(1+($B$7+(D$43-$B$7)*2/5)))*$B$8)/(1+$B$45)^2)+((($F$12*(1+($B$7+(D$43-$B$7)*1/5))*(1+($B$7+(D$43-$B$7)*2/5))*(1+($B$7+(D$43-$B$7)*3/5)))*$B$8)/(1+$B$45)^3)+((($F$12*(1+($B$7+(D$43-$B$7)*1/5))*(1+($B$7+(D$43-$B$7)*2/5))*(1+($B$7+(D$43-$B$7)*3/5))*(1+($B$7+(D$43-$B$7)*4/5)))*$B$8)/(1+$B$45)^4)+((($F$12*(1+($B$7+(D$43-$B$7)*1/5))*(1+($B$7+(D$43-$B$7)*2/5))*(1+($B$7+(D$43-$B$7)*3/5))*(1+($B$7+(D$43-$B$7)*4/5))*(1+($B$7+(D$43-$B$7)*5/5)))*$B$8)/(1+$B$45)^5)+((((($F$12*(1+($B$7+(D$43-$B$7)*1/5))*(1+($B$7+(D$43-$B$7)*2/5))*(1+($B$7+(D$43-$B$7)*3/5))*(1+($B$7+(D$43-$B$7)*4/5))*(1+($B$7+(D$43-$B$7)*5/5)))*$B$8)*(1+D$43))/($B$45-D$43))/(1+$B$45)^5))-$B$19+$B$18)/$B$20</f>
        <v/>
      </c>
      <c r="E45" s="20">
        <f>((((($F$12*(1+($B$7+(E$43-$B$7)*1/5)))*$B$8)/(1+$B$45)^1)+((($F$12*(1+($B$7+(E$43-$B$7)*1/5))*(1+($B$7+(E$43-$B$7)*2/5)))*$B$8)/(1+$B$45)^2)+((($F$12*(1+($B$7+(E$43-$B$7)*1/5))*(1+($B$7+(E$43-$B$7)*2/5))*(1+($B$7+(E$43-$B$7)*3/5)))*$B$8)/(1+$B$45)^3)+((($F$12*(1+($B$7+(E$43-$B$7)*1/5))*(1+($B$7+(E$43-$B$7)*2/5))*(1+($B$7+(E$43-$B$7)*3/5))*(1+($B$7+(E$43-$B$7)*4/5)))*$B$8)/(1+$B$45)^4)+((($F$12*(1+($B$7+(E$43-$B$7)*1/5))*(1+($B$7+(E$43-$B$7)*2/5))*(1+($B$7+(E$43-$B$7)*3/5))*(1+($B$7+(E$43-$B$7)*4/5))*(1+($B$7+(E$43-$B$7)*5/5)))*$B$8)/(1+$B$45)^5)+((((($F$12*(1+($B$7+(E$43-$B$7)*1/5))*(1+($B$7+(E$43-$B$7)*2/5))*(1+($B$7+(E$43-$B$7)*3/5))*(1+($B$7+(E$43-$B$7)*4/5))*(1+($B$7+(E$43-$B$7)*5/5)))*$B$8)*(1+E$43))/($B$45-E$43))/(1+$B$45)^5))-$B$19+$B$18)/$B$20</f>
        <v/>
      </c>
      <c r="F45" s="20">
        <f>((((($F$12*(1+($B$7+(F$43-$B$7)*1/5)))*$B$8)/(1+$B$45)^1)+((($F$12*(1+($B$7+(F$43-$B$7)*1/5))*(1+($B$7+(F$43-$B$7)*2/5)))*$B$8)/(1+$B$45)^2)+((($F$12*(1+($B$7+(F$43-$B$7)*1/5))*(1+($B$7+(F$43-$B$7)*2/5))*(1+($B$7+(F$43-$B$7)*3/5)))*$B$8)/(1+$B$45)^3)+((($F$12*(1+($B$7+(F$43-$B$7)*1/5))*(1+($B$7+(F$43-$B$7)*2/5))*(1+($B$7+(F$43-$B$7)*3/5))*(1+($B$7+(F$43-$B$7)*4/5)))*$B$8)/(1+$B$45)^4)+((($F$12*(1+($B$7+(F$43-$B$7)*1/5))*(1+($B$7+(F$43-$B$7)*2/5))*(1+($B$7+(F$43-$B$7)*3/5))*(1+($B$7+(F$43-$B$7)*4/5))*(1+($B$7+(F$43-$B$7)*5/5)))*$B$8)/(1+$B$45)^5)+((((($F$12*(1+($B$7+(F$43-$B$7)*1/5))*(1+($B$7+(F$43-$B$7)*2/5))*(1+($B$7+(F$43-$B$7)*3/5))*(1+($B$7+(F$43-$B$7)*4/5))*(1+($B$7+(F$43-$B$7)*5/5)))*$B$8)*(1+F$43))/($B$45-F$43))/(1+$B$45)^5))-$B$19+$B$18)/$B$20</f>
        <v/>
      </c>
      <c r="G45" s="20">
        <f>((((($F$12*(1+($B$7+(G$43-$B$7)*1/5)))*$B$8)/(1+$B$45)^1)+((($F$12*(1+($B$7+(G$43-$B$7)*1/5))*(1+($B$7+(G$43-$B$7)*2/5)))*$B$8)/(1+$B$45)^2)+((($F$12*(1+($B$7+(G$43-$B$7)*1/5))*(1+($B$7+(G$43-$B$7)*2/5))*(1+($B$7+(G$43-$B$7)*3/5)))*$B$8)/(1+$B$45)^3)+((($F$12*(1+($B$7+(G$43-$B$7)*1/5))*(1+($B$7+(G$43-$B$7)*2/5))*(1+($B$7+(G$43-$B$7)*3/5))*(1+($B$7+(G$43-$B$7)*4/5)))*$B$8)/(1+$B$45)^4)+((($F$12*(1+($B$7+(G$43-$B$7)*1/5))*(1+($B$7+(G$43-$B$7)*2/5))*(1+($B$7+(G$43-$B$7)*3/5))*(1+($B$7+(G$43-$B$7)*4/5))*(1+($B$7+(G$43-$B$7)*5/5)))*$B$8)/(1+$B$45)^5)+((((($F$12*(1+($B$7+(G$43-$B$7)*1/5))*(1+($B$7+(G$43-$B$7)*2/5))*(1+($B$7+(G$43-$B$7)*3/5))*(1+($B$7+(G$43-$B$7)*4/5))*(1+($B$7+(G$43-$B$7)*5/5)))*$B$8)*(1+G$43))/($B$45-G$43))/(1+$B$45)^5))-$B$19+$B$18)/$B$20</f>
        <v/>
      </c>
    </row>
    <row r="46">
      <c r="B46" s="19" t="n">
        <v>0.1</v>
      </c>
      <c r="C46" s="20">
        <f>((((($F$12*(1+($B$7+(C$43-$B$7)*1/5)))*$B$8)/(1+$B$46)^1)+((($F$12*(1+($B$7+(C$43-$B$7)*1/5))*(1+($B$7+(C$43-$B$7)*2/5)))*$B$8)/(1+$B$46)^2)+((($F$12*(1+($B$7+(C$43-$B$7)*1/5))*(1+($B$7+(C$43-$B$7)*2/5))*(1+($B$7+(C$43-$B$7)*3/5)))*$B$8)/(1+$B$46)^3)+((($F$12*(1+($B$7+(C$43-$B$7)*1/5))*(1+($B$7+(C$43-$B$7)*2/5))*(1+($B$7+(C$43-$B$7)*3/5))*(1+($B$7+(C$43-$B$7)*4/5)))*$B$8)/(1+$B$46)^4)+((($F$12*(1+($B$7+(C$43-$B$7)*1/5))*(1+($B$7+(C$43-$B$7)*2/5))*(1+($B$7+(C$43-$B$7)*3/5))*(1+($B$7+(C$43-$B$7)*4/5))*(1+($B$7+(C$43-$B$7)*5/5)))*$B$8)/(1+$B$46)^5)+((((($F$12*(1+($B$7+(C$43-$B$7)*1/5))*(1+($B$7+(C$43-$B$7)*2/5))*(1+($B$7+(C$43-$B$7)*3/5))*(1+($B$7+(C$43-$B$7)*4/5))*(1+($B$7+(C$43-$B$7)*5/5)))*$B$8)*(1+C$43))/($B$46-C$43))/(1+$B$46)^5))-$B$19+$B$18)/$B$20</f>
        <v/>
      </c>
      <c r="D46" s="20">
        <f>((((($F$12*(1+($B$7+(D$43-$B$7)*1/5)))*$B$8)/(1+$B$46)^1)+((($F$12*(1+($B$7+(D$43-$B$7)*1/5))*(1+($B$7+(D$43-$B$7)*2/5)))*$B$8)/(1+$B$46)^2)+((($F$12*(1+($B$7+(D$43-$B$7)*1/5))*(1+($B$7+(D$43-$B$7)*2/5))*(1+($B$7+(D$43-$B$7)*3/5)))*$B$8)/(1+$B$46)^3)+((($F$12*(1+($B$7+(D$43-$B$7)*1/5))*(1+($B$7+(D$43-$B$7)*2/5))*(1+($B$7+(D$43-$B$7)*3/5))*(1+($B$7+(D$43-$B$7)*4/5)))*$B$8)/(1+$B$46)^4)+((($F$12*(1+($B$7+(D$43-$B$7)*1/5))*(1+($B$7+(D$43-$B$7)*2/5))*(1+($B$7+(D$43-$B$7)*3/5))*(1+($B$7+(D$43-$B$7)*4/5))*(1+($B$7+(D$43-$B$7)*5/5)))*$B$8)/(1+$B$46)^5)+((((($F$12*(1+($B$7+(D$43-$B$7)*1/5))*(1+($B$7+(D$43-$B$7)*2/5))*(1+($B$7+(D$43-$B$7)*3/5))*(1+($B$7+(D$43-$B$7)*4/5))*(1+($B$7+(D$43-$B$7)*5/5)))*$B$8)*(1+D$43))/($B$46-D$43))/(1+$B$46)^5))-$B$19+$B$18)/$B$20</f>
        <v/>
      </c>
      <c r="E46" s="20">
        <f>((((($F$12*(1+($B$7+(E$43-$B$7)*1/5)))*$B$8)/(1+$B$46)^1)+((($F$12*(1+($B$7+(E$43-$B$7)*1/5))*(1+($B$7+(E$43-$B$7)*2/5)))*$B$8)/(1+$B$46)^2)+((($F$12*(1+($B$7+(E$43-$B$7)*1/5))*(1+($B$7+(E$43-$B$7)*2/5))*(1+($B$7+(E$43-$B$7)*3/5)))*$B$8)/(1+$B$46)^3)+((($F$12*(1+($B$7+(E$43-$B$7)*1/5))*(1+($B$7+(E$43-$B$7)*2/5))*(1+($B$7+(E$43-$B$7)*3/5))*(1+($B$7+(E$43-$B$7)*4/5)))*$B$8)/(1+$B$46)^4)+((($F$12*(1+($B$7+(E$43-$B$7)*1/5))*(1+($B$7+(E$43-$B$7)*2/5))*(1+($B$7+(E$43-$B$7)*3/5))*(1+($B$7+(E$43-$B$7)*4/5))*(1+($B$7+(E$43-$B$7)*5/5)))*$B$8)/(1+$B$46)^5)+((((($F$12*(1+($B$7+(E$43-$B$7)*1/5))*(1+($B$7+(E$43-$B$7)*2/5))*(1+($B$7+(E$43-$B$7)*3/5))*(1+($B$7+(E$43-$B$7)*4/5))*(1+($B$7+(E$43-$B$7)*5/5)))*$B$8)*(1+E$43))/($B$46-E$43))/(1+$B$46)^5))-$B$19+$B$18)/$B$20</f>
        <v/>
      </c>
      <c r="F46" s="20">
        <f>((((($F$12*(1+($B$7+(F$43-$B$7)*1/5)))*$B$8)/(1+$B$46)^1)+((($F$12*(1+($B$7+(F$43-$B$7)*1/5))*(1+($B$7+(F$43-$B$7)*2/5)))*$B$8)/(1+$B$46)^2)+((($F$12*(1+($B$7+(F$43-$B$7)*1/5))*(1+($B$7+(F$43-$B$7)*2/5))*(1+($B$7+(F$43-$B$7)*3/5)))*$B$8)/(1+$B$46)^3)+((($F$12*(1+($B$7+(F$43-$B$7)*1/5))*(1+($B$7+(F$43-$B$7)*2/5))*(1+($B$7+(F$43-$B$7)*3/5))*(1+($B$7+(F$43-$B$7)*4/5)))*$B$8)/(1+$B$46)^4)+((($F$12*(1+($B$7+(F$43-$B$7)*1/5))*(1+($B$7+(F$43-$B$7)*2/5))*(1+($B$7+(F$43-$B$7)*3/5))*(1+($B$7+(F$43-$B$7)*4/5))*(1+($B$7+(F$43-$B$7)*5/5)))*$B$8)/(1+$B$46)^5)+((((($F$12*(1+($B$7+(F$43-$B$7)*1/5))*(1+($B$7+(F$43-$B$7)*2/5))*(1+($B$7+(F$43-$B$7)*3/5))*(1+($B$7+(F$43-$B$7)*4/5))*(1+($B$7+(F$43-$B$7)*5/5)))*$B$8)*(1+F$43))/($B$46-F$43))/(1+$B$46)^5))-$B$19+$B$18)/$B$20</f>
        <v/>
      </c>
      <c r="G46" s="20">
        <f>((((($F$12*(1+($B$7+(G$43-$B$7)*1/5)))*$B$8)/(1+$B$46)^1)+((($F$12*(1+($B$7+(G$43-$B$7)*1/5))*(1+($B$7+(G$43-$B$7)*2/5)))*$B$8)/(1+$B$46)^2)+((($F$12*(1+($B$7+(G$43-$B$7)*1/5))*(1+($B$7+(G$43-$B$7)*2/5))*(1+($B$7+(G$43-$B$7)*3/5)))*$B$8)/(1+$B$46)^3)+((($F$12*(1+($B$7+(G$43-$B$7)*1/5))*(1+($B$7+(G$43-$B$7)*2/5))*(1+($B$7+(G$43-$B$7)*3/5))*(1+($B$7+(G$43-$B$7)*4/5)))*$B$8)/(1+$B$46)^4)+((($F$12*(1+($B$7+(G$43-$B$7)*1/5))*(1+($B$7+(G$43-$B$7)*2/5))*(1+($B$7+(G$43-$B$7)*3/5))*(1+($B$7+(G$43-$B$7)*4/5))*(1+($B$7+(G$43-$B$7)*5/5)))*$B$8)/(1+$B$46)^5)+((((($F$12*(1+($B$7+(G$43-$B$7)*1/5))*(1+($B$7+(G$43-$B$7)*2/5))*(1+($B$7+(G$43-$B$7)*3/5))*(1+($B$7+(G$43-$B$7)*4/5))*(1+($B$7+(G$43-$B$7)*5/5)))*$B$8)*(1+G$43))/($B$46-G$43))/(1+$B$46)^5))-$B$19+$B$18)/$B$20</f>
        <v/>
      </c>
    </row>
    <row r="47">
      <c r="B47" s="19" t="n">
        <v>0.11</v>
      </c>
      <c r="C47" s="20">
        <f>((((($F$12*(1+($B$7+(C$43-$B$7)*1/5)))*$B$8)/(1+$B$47)^1)+((($F$12*(1+($B$7+(C$43-$B$7)*1/5))*(1+($B$7+(C$43-$B$7)*2/5)))*$B$8)/(1+$B$47)^2)+((($F$12*(1+($B$7+(C$43-$B$7)*1/5))*(1+($B$7+(C$43-$B$7)*2/5))*(1+($B$7+(C$43-$B$7)*3/5)))*$B$8)/(1+$B$47)^3)+((($F$12*(1+($B$7+(C$43-$B$7)*1/5))*(1+($B$7+(C$43-$B$7)*2/5))*(1+($B$7+(C$43-$B$7)*3/5))*(1+($B$7+(C$43-$B$7)*4/5)))*$B$8)/(1+$B$47)^4)+((($F$12*(1+($B$7+(C$43-$B$7)*1/5))*(1+($B$7+(C$43-$B$7)*2/5))*(1+($B$7+(C$43-$B$7)*3/5))*(1+($B$7+(C$43-$B$7)*4/5))*(1+($B$7+(C$43-$B$7)*5/5)))*$B$8)/(1+$B$47)^5)+((((($F$12*(1+($B$7+(C$43-$B$7)*1/5))*(1+($B$7+(C$43-$B$7)*2/5))*(1+($B$7+(C$43-$B$7)*3/5))*(1+($B$7+(C$43-$B$7)*4/5))*(1+($B$7+(C$43-$B$7)*5/5)))*$B$8)*(1+C$43))/($B$47-C$43))/(1+$B$47)^5))-$B$19+$B$18)/$B$20</f>
        <v/>
      </c>
      <c r="D47" s="20">
        <f>((((($F$12*(1+($B$7+(D$43-$B$7)*1/5)))*$B$8)/(1+$B$47)^1)+((($F$12*(1+($B$7+(D$43-$B$7)*1/5))*(1+($B$7+(D$43-$B$7)*2/5)))*$B$8)/(1+$B$47)^2)+((($F$12*(1+($B$7+(D$43-$B$7)*1/5))*(1+($B$7+(D$43-$B$7)*2/5))*(1+($B$7+(D$43-$B$7)*3/5)))*$B$8)/(1+$B$47)^3)+((($F$12*(1+($B$7+(D$43-$B$7)*1/5))*(1+($B$7+(D$43-$B$7)*2/5))*(1+($B$7+(D$43-$B$7)*3/5))*(1+($B$7+(D$43-$B$7)*4/5)))*$B$8)/(1+$B$47)^4)+((($F$12*(1+($B$7+(D$43-$B$7)*1/5))*(1+($B$7+(D$43-$B$7)*2/5))*(1+($B$7+(D$43-$B$7)*3/5))*(1+($B$7+(D$43-$B$7)*4/5))*(1+($B$7+(D$43-$B$7)*5/5)))*$B$8)/(1+$B$47)^5)+((((($F$12*(1+($B$7+(D$43-$B$7)*1/5))*(1+($B$7+(D$43-$B$7)*2/5))*(1+($B$7+(D$43-$B$7)*3/5))*(1+($B$7+(D$43-$B$7)*4/5))*(1+($B$7+(D$43-$B$7)*5/5)))*$B$8)*(1+D$43))/($B$47-D$43))/(1+$B$47)^5))-$B$19+$B$18)/$B$20</f>
        <v/>
      </c>
      <c r="E47" s="20">
        <f>((((($F$12*(1+($B$7+(E$43-$B$7)*1/5)))*$B$8)/(1+$B$47)^1)+((($F$12*(1+($B$7+(E$43-$B$7)*1/5))*(1+($B$7+(E$43-$B$7)*2/5)))*$B$8)/(1+$B$47)^2)+((($F$12*(1+($B$7+(E$43-$B$7)*1/5))*(1+($B$7+(E$43-$B$7)*2/5))*(1+($B$7+(E$43-$B$7)*3/5)))*$B$8)/(1+$B$47)^3)+((($F$12*(1+($B$7+(E$43-$B$7)*1/5))*(1+($B$7+(E$43-$B$7)*2/5))*(1+($B$7+(E$43-$B$7)*3/5))*(1+($B$7+(E$43-$B$7)*4/5)))*$B$8)/(1+$B$47)^4)+((($F$12*(1+($B$7+(E$43-$B$7)*1/5))*(1+($B$7+(E$43-$B$7)*2/5))*(1+($B$7+(E$43-$B$7)*3/5))*(1+($B$7+(E$43-$B$7)*4/5))*(1+($B$7+(E$43-$B$7)*5/5)))*$B$8)/(1+$B$47)^5)+((((($F$12*(1+($B$7+(E$43-$B$7)*1/5))*(1+($B$7+(E$43-$B$7)*2/5))*(1+($B$7+(E$43-$B$7)*3/5))*(1+($B$7+(E$43-$B$7)*4/5))*(1+($B$7+(E$43-$B$7)*5/5)))*$B$8)*(1+E$43))/($B$47-E$43))/(1+$B$47)^5))-$B$19+$B$18)/$B$20</f>
        <v/>
      </c>
      <c r="F47" s="20">
        <f>((((($F$12*(1+($B$7+(F$43-$B$7)*1/5)))*$B$8)/(1+$B$47)^1)+((($F$12*(1+($B$7+(F$43-$B$7)*1/5))*(1+($B$7+(F$43-$B$7)*2/5)))*$B$8)/(1+$B$47)^2)+((($F$12*(1+($B$7+(F$43-$B$7)*1/5))*(1+($B$7+(F$43-$B$7)*2/5))*(1+($B$7+(F$43-$B$7)*3/5)))*$B$8)/(1+$B$47)^3)+((($F$12*(1+($B$7+(F$43-$B$7)*1/5))*(1+($B$7+(F$43-$B$7)*2/5))*(1+($B$7+(F$43-$B$7)*3/5))*(1+($B$7+(F$43-$B$7)*4/5)))*$B$8)/(1+$B$47)^4)+((($F$12*(1+($B$7+(F$43-$B$7)*1/5))*(1+($B$7+(F$43-$B$7)*2/5))*(1+($B$7+(F$43-$B$7)*3/5))*(1+($B$7+(F$43-$B$7)*4/5))*(1+($B$7+(F$43-$B$7)*5/5)))*$B$8)/(1+$B$47)^5)+((((($F$12*(1+($B$7+(F$43-$B$7)*1/5))*(1+($B$7+(F$43-$B$7)*2/5))*(1+($B$7+(F$43-$B$7)*3/5))*(1+($B$7+(F$43-$B$7)*4/5))*(1+($B$7+(F$43-$B$7)*5/5)))*$B$8)*(1+F$43))/($B$47-F$43))/(1+$B$47)^5))-$B$19+$B$18)/$B$20</f>
        <v/>
      </c>
      <c r="G47" s="20">
        <f>((((($F$12*(1+($B$7+(G$43-$B$7)*1/5)))*$B$8)/(1+$B$47)^1)+((($F$12*(1+($B$7+(G$43-$B$7)*1/5))*(1+($B$7+(G$43-$B$7)*2/5)))*$B$8)/(1+$B$47)^2)+((($F$12*(1+($B$7+(G$43-$B$7)*1/5))*(1+($B$7+(G$43-$B$7)*2/5))*(1+($B$7+(G$43-$B$7)*3/5)))*$B$8)/(1+$B$47)^3)+((($F$12*(1+($B$7+(G$43-$B$7)*1/5))*(1+($B$7+(G$43-$B$7)*2/5))*(1+($B$7+(G$43-$B$7)*3/5))*(1+($B$7+(G$43-$B$7)*4/5)))*$B$8)/(1+$B$47)^4)+((($F$12*(1+($B$7+(G$43-$B$7)*1/5))*(1+($B$7+(G$43-$B$7)*2/5))*(1+($B$7+(G$43-$B$7)*3/5))*(1+($B$7+(G$43-$B$7)*4/5))*(1+($B$7+(G$43-$B$7)*5/5)))*$B$8)/(1+$B$47)^5)+((((($F$12*(1+($B$7+(G$43-$B$7)*1/5))*(1+($B$7+(G$43-$B$7)*2/5))*(1+($B$7+(G$43-$B$7)*3/5))*(1+($B$7+(G$43-$B$7)*4/5))*(1+($B$7+(G$43-$B$7)*5/5)))*$B$8)*(1+G$43))/($B$47-G$43))/(1+$B$47)^5))-$B$19+$B$18)/$B$20</f>
        <v/>
      </c>
    </row>
    <row r="48">
      <c r="B48" s="19" t="n">
        <v>0.12</v>
      </c>
      <c r="C48" s="20">
        <f>((((($F$12*(1+($B$7+(C$43-$B$7)*1/5)))*$B$8)/(1+$B$48)^1)+((($F$12*(1+($B$7+(C$43-$B$7)*1/5))*(1+($B$7+(C$43-$B$7)*2/5)))*$B$8)/(1+$B$48)^2)+((($F$12*(1+($B$7+(C$43-$B$7)*1/5))*(1+($B$7+(C$43-$B$7)*2/5))*(1+($B$7+(C$43-$B$7)*3/5)))*$B$8)/(1+$B$48)^3)+((($F$12*(1+($B$7+(C$43-$B$7)*1/5))*(1+($B$7+(C$43-$B$7)*2/5))*(1+($B$7+(C$43-$B$7)*3/5))*(1+($B$7+(C$43-$B$7)*4/5)))*$B$8)/(1+$B$48)^4)+((($F$12*(1+($B$7+(C$43-$B$7)*1/5))*(1+($B$7+(C$43-$B$7)*2/5))*(1+($B$7+(C$43-$B$7)*3/5))*(1+($B$7+(C$43-$B$7)*4/5))*(1+($B$7+(C$43-$B$7)*5/5)))*$B$8)/(1+$B$48)^5)+((((($F$12*(1+($B$7+(C$43-$B$7)*1/5))*(1+($B$7+(C$43-$B$7)*2/5))*(1+($B$7+(C$43-$B$7)*3/5))*(1+($B$7+(C$43-$B$7)*4/5))*(1+($B$7+(C$43-$B$7)*5/5)))*$B$8)*(1+C$43))/($B$48-C$43))/(1+$B$48)^5))-$B$19+$B$18)/$B$20</f>
        <v/>
      </c>
      <c r="D48" s="20">
        <f>((((($F$12*(1+($B$7+(D$43-$B$7)*1/5)))*$B$8)/(1+$B$48)^1)+((($F$12*(1+($B$7+(D$43-$B$7)*1/5))*(1+($B$7+(D$43-$B$7)*2/5)))*$B$8)/(1+$B$48)^2)+((($F$12*(1+($B$7+(D$43-$B$7)*1/5))*(1+($B$7+(D$43-$B$7)*2/5))*(1+($B$7+(D$43-$B$7)*3/5)))*$B$8)/(1+$B$48)^3)+((($F$12*(1+($B$7+(D$43-$B$7)*1/5))*(1+($B$7+(D$43-$B$7)*2/5))*(1+($B$7+(D$43-$B$7)*3/5))*(1+($B$7+(D$43-$B$7)*4/5)))*$B$8)/(1+$B$48)^4)+((($F$12*(1+($B$7+(D$43-$B$7)*1/5))*(1+($B$7+(D$43-$B$7)*2/5))*(1+($B$7+(D$43-$B$7)*3/5))*(1+($B$7+(D$43-$B$7)*4/5))*(1+($B$7+(D$43-$B$7)*5/5)))*$B$8)/(1+$B$48)^5)+((((($F$12*(1+($B$7+(D$43-$B$7)*1/5))*(1+($B$7+(D$43-$B$7)*2/5))*(1+($B$7+(D$43-$B$7)*3/5))*(1+($B$7+(D$43-$B$7)*4/5))*(1+($B$7+(D$43-$B$7)*5/5)))*$B$8)*(1+D$43))/($B$48-D$43))/(1+$B$48)^5))-$B$19+$B$18)/$B$20</f>
        <v/>
      </c>
      <c r="E48" s="20">
        <f>((((($F$12*(1+($B$7+(E$43-$B$7)*1/5)))*$B$8)/(1+$B$48)^1)+((($F$12*(1+($B$7+(E$43-$B$7)*1/5))*(1+($B$7+(E$43-$B$7)*2/5)))*$B$8)/(1+$B$48)^2)+((($F$12*(1+($B$7+(E$43-$B$7)*1/5))*(1+($B$7+(E$43-$B$7)*2/5))*(1+($B$7+(E$43-$B$7)*3/5)))*$B$8)/(1+$B$48)^3)+((($F$12*(1+($B$7+(E$43-$B$7)*1/5))*(1+($B$7+(E$43-$B$7)*2/5))*(1+($B$7+(E$43-$B$7)*3/5))*(1+($B$7+(E$43-$B$7)*4/5)))*$B$8)/(1+$B$48)^4)+((($F$12*(1+($B$7+(E$43-$B$7)*1/5))*(1+($B$7+(E$43-$B$7)*2/5))*(1+($B$7+(E$43-$B$7)*3/5))*(1+($B$7+(E$43-$B$7)*4/5))*(1+($B$7+(E$43-$B$7)*5/5)))*$B$8)/(1+$B$48)^5)+((((($F$12*(1+($B$7+(E$43-$B$7)*1/5))*(1+($B$7+(E$43-$B$7)*2/5))*(1+($B$7+(E$43-$B$7)*3/5))*(1+($B$7+(E$43-$B$7)*4/5))*(1+($B$7+(E$43-$B$7)*5/5)))*$B$8)*(1+E$43))/($B$48-E$43))/(1+$B$48)^5))-$B$19+$B$18)/$B$20</f>
        <v/>
      </c>
      <c r="F48" s="20">
        <f>((((($F$12*(1+($B$7+(F$43-$B$7)*1/5)))*$B$8)/(1+$B$48)^1)+((($F$12*(1+($B$7+(F$43-$B$7)*1/5))*(1+($B$7+(F$43-$B$7)*2/5)))*$B$8)/(1+$B$48)^2)+((($F$12*(1+($B$7+(F$43-$B$7)*1/5))*(1+($B$7+(F$43-$B$7)*2/5))*(1+($B$7+(F$43-$B$7)*3/5)))*$B$8)/(1+$B$48)^3)+((($F$12*(1+($B$7+(F$43-$B$7)*1/5))*(1+($B$7+(F$43-$B$7)*2/5))*(1+($B$7+(F$43-$B$7)*3/5))*(1+($B$7+(F$43-$B$7)*4/5)))*$B$8)/(1+$B$48)^4)+((($F$12*(1+($B$7+(F$43-$B$7)*1/5))*(1+($B$7+(F$43-$B$7)*2/5))*(1+($B$7+(F$43-$B$7)*3/5))*(1+($B$7+(F$43-$B$7)*4/5))*(1+($B$7+(F$43-$B$7)*5/5)))*$B$8)/(1+$B$48)^5)+((((($F$12*(1+($B$7+(F$43-$B$7)*1/5))*(1+($B$7+(F$43-$B$7)*2/5))*(1+($B$7+(F$43-$B$7)*3/5))*(1+($B$7+(F$43-$B$7)*4/5))*(1+($B$7+(F$43-$B$7)*5/5)))*$B$8)*(1+F$43))/($B$48-F$43))/(1+$B$48)^5))-$B$19+$B$18)/$B$20</f>
        <v/>
      </c>
      <c r="G48" s="20">
        <f>((((($F$12*(1+($B$7+(G$43-$B$7)*1/5)))*$B$8)/(1+$B$48)^1)+((($F$12*(1+($B$7+(G$43-$B$7)*1/5))*(1+($B$7+(G$43-$B$7)*2/5)))*$B$8)/(1+$B$48)^2)+((($F$12*(1+($B$7+(G$43-$B$7)*1/5))*(1+($B$7+(G$43-$B$7)*2/5))*(1+($B$7+(G$43-$B$7)*3/5)))*$B$8)/(1+$B$48)^3)+((($F$12*(1+($B$7+(G$43-$B$7)*1/5))*(1+($B$7+(G$43-$B$7)*2/5))*(1+($B$7+(G$43-$B$7)*3/5))*(1+($B$7+(G$43-$B$7)*4/5)))*$B$8)/(1+$B$48)^4)+((($F$12*(1+($B$7+(G$43-$B$7)*1/5))*(1+($B$7+(G$43-$B$7)*2/5))*(1+($B$7+(G$43-$B$7)*3/5))*(1+($B$7+(G$43-$B$7)*4/5))*(1+($B$7+(G$43-$B$7)*5/5)))*$B$8)/(1+$B$48)^5)+((((($F$12*(1+($B$7+(G$43-$B$7)*1/5))*(1+($B$7+(G$43-$B$7)*2/5))*(1+($B$7+(G$43-$B$7)*3/5))*(1+($B$7+(G$43-$B$7)*4/5))*(1+($B$7+(G$43-$B$7)*5/5)))*$B$8)*(1+G$43))/($B$48-G$43))/(1+$B$48)^5))-$B$19+$B$18)/$B$20</f>
        <v/>
      </c>
    </row>
    <row r="50">
      <c r="A50" s="3" t="inlineStr">
        <is>
          <t>Tornado Inputs (other variable held at its base case)</t>
        </is>
      </c>
      <c r="B50" s="12" t="n"/>
      <c r="C50" s="12" t="n"/>
      <c r="D50" s="12" t="n"/>
      <c r="E50" s="12" t="n"/>
      <c r="F50" s="12" t="n"/>
      <c r="G50" s="12" t="n"/>
    </row>
    <row r="51">
      <c r="A51" s="17" t="inlineStr">
        <is>
          <t>Factor</t>
        </is>
      </c>
      <c r="B51" s="17" t="inlineStr">
        <is>
          <t>Low</t>
        </is>
      </c>
      <c r="C51" s="17" t="inlineStr">
        <is>
          <t>High</t>
        </is>
      </c>
      <c r="D51" s="17" t="inlineStr">
        <is>
          <t>Base (chart helper)</t>
        </is>
      </c>
      <c r="E51" s="17" t="inlineStr">
        <is>
          <t>Span (chart helper)</t>
        </is>
      </c>
    </row>
    <row r="52">
      <c r="A52" s="4" t="inlineStr">
        <is>
          <t>WACC (8% → 12%)</t>
        </is>
      </c>
      <c r="B52" s="8">
        <f>E44</f>
        <v/>
      </c>
      <c r="C52" s="8">
        <f>E48</f>
        <v/>
      </c>
      <c r="D52" s="8">
        <f>MIN(B52,C52)</f>
        <v/>
      </c>
      <c r="E52" s="8">
        <f>ABS(C52-B52)</f>
        <v/>
      </c>
    </row>
    <row r="53">
      <c r="A53" s="4" t="inlineStr">
        <is>
          <t>Terminal growth (2% → 4%)</t>
        </is>
      </c>
      <c r="B53" s="8">
        <f>C46</f>
        <v/>
      </c>
      <c r="C53" s="8">
        <f>G46</f>
        <v/>
      </c>
      <c r="D53" s="8">
        <f>MIN(B53,C53)</f>
        <v/>
      </c>
      <c r="E53" s="8">
        <f>ABS(C53-B53)</f>
        <v/>
      </c>
    </row>
  </sheetData>
  <conditionalFormatting sqref="C44:G4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NOW — ServiceNow, Inc.</t>
        </is>
      </c>
    </row>
    <row r="2">
      <c r="A2" s="4" t="inlineStr">
        <is>
          <t>Unlevered DCF | $ in millions except per-share and share count</t>
        </is>
      </c>
    </row>
    <row r="4">
      <c r="A4" s="3" t="inlineStr">
        <is>
          <t>Assumptions (edit the highlighted cells)</t>
        </is>
      </c>
      <c r="B4" s="12" t="n"/>
      <c r="C4" s="12" t="n"/>
      <c r="D4" s="12" t="n"/>
      <c r="E4" s="12" t="n"/>
      <c r="F4" s="12" t="n"/>
      <c r="G4" s="12" t="n"/>
    </row>
    <row r="5">
      <c r="A5" s="4" t="inlineStr">
        <is>
          <t>WACC (discount rate)</t>
        </is>
      </c>
      <c r="B5" s="13" t="n">
        <v>0.1</v>
      </c>
    </row>
    <row r="6">
      <c r="A6" s="4" t="inlineStr">
        <is>
          <t>Terminal growth rate</t>
        </is>
      </c>
      <c r="B6" s="13" t="n">
        <v>0.03</v>
      </c>
    </row>
    <row r="7">
      <c r="A7" s="4" t="inlineStr">
        <is>
          <t>Starting revenue growth rate</t>
        </is>
      </c>
      <c r="B7" s="13" t="n">
        <v>0.2088492352512745</v>
      </c>
      <c r="C7" s="2" t="inlineStr">
        <is>
          <t>default: most recent YoY revenue growth</t>
        </is>
      </c>
    </row>
    <row r="8">
      <c r="A8" s="4" t="inlineStr">
        <is>
          <t>Unlevered FCF margin (% of revenue)</t>
        </is>
      </c>
      <c r="B8" s="13" t="n">
        <v>0.3277684944412977</v>
      </c>
      <c r="C8" s="2" t="inlineStr">
        <is>
          <t>default: avg of last 2 fiscal years' FCF / revenue</t>
        </is>
      </c>
    </row>
    <row r="10">
      <c r="A10" s="3" t="inlineStr">
        <is>
          <t>Historical Trend ($ in millions)</t>
        </is>
      </c>
      <c r="B10" s="12" t="n"/>
      <c r="C10" s="12" t="n"/>
      <c r="D10" s="12" t="n"/>
      <c r="E10" s="12" t="n"/>
      <c r="F10" s="12" t="n"/>
      <c r="G10" s="12" t="n"/>
    </row>
    <row r="11">
      <c r="A11" s="4" t="inlineStr">
        <is>
          <t>Fiscal year</t>
        </is>
      </c>
      <c r="B11" s="14" t="n">
        <v>2021</v>
      </c>
      <c r="C11" s="14" t="n">
        <v>2022</v>
      </c>
      <c r="D11" s="14" t="n">
        <v>2023</v>
      </c>
      <c r="E11" s="14" t="n">
        <v>2024</v>
      </c>
      <c r="F11" s="14" t="n">
        <v>2025</v>
      </c>
    </row>
    <row r="12">
      <c r="A12" s="4" t="inlineStr">
        <is>
          <t>Revenue</t>
        </is>
      </c>
      <c r="B12" s="6" t="n">
        <v>5896</v>
      </c>
      <c r="C12" s="6" t="n">
        <v>7245</v>
      </c>
      <c r="D12" s="6" t="n">
        <v>8971</v>
      </c>
      <c r="E12" s="6" t="n">
        <v>10984</v>
      </c>
      <c r="F12" s="6" t="n">
        <v>13278</v>
      </c>
    </row>
    <row r="13">
      <c r="A13" s="4" t="inlineStr">
        <is>
          <t>Revenue growth %</t>
        </is>
      </c>
      <c r="C13" s="5">
        <f>C12/B12-1</f>
        <v/>
      </c>
      <c r="D13" s="5">
        <f>D12/C12-1</f>
        <v/>
      </c>
      <c r="E13" s="5">
        <f>E12/D12-1</f>
        <v/>
      </c>
      <c r="F13" s="5">
        <f>F12/E12-1</f>
        <v/>
      </c>
    </row>
    <row r="14">
      <c r="A14" s="4" t="inlineStr">
        <is>
          <t>Free cash flow</t>
        </is>
      </c>
      <c r="B14" s="6" t="n">
        <v>1799</v>
      </c>
      <c r="C14" s="6" t="n">
        <v>2173</v>
      </c>
      <c r="D14" s="6" t="n">
        <v>2704</v>
      </c>
      <c r="E14" s="6" t="n">
        <v>3415</v>
      </c>
      <c r="F14" s="6" t="n">
        <v>4576</v>
      </c>
    </row>
    <row r="15">
      <c r="A15" s="4" t="inlineStr">
        <is>
          <t>FCF margin %</t>
        </is>
      </c>
      <c r="B15" s="5">
        <f>B14/B12</f>
        <v/>
      </c>
      <c r="C15" s="5">
        <f>C14/C12</f>
        <v/>
      </c>
      <c r="D15" s="5">
        <f>D14/D12</f>
        <v/>
      </c>
      <c r="E15" s="5">
        <f>E14/E12</f>
        <v/>
      </c>
      <c r="F15" s="5">
        <f>F14/F12</f>
        <v/>
      </c>
    </row>
    <row r="17">
      <c r="A17" s="3" t="inlineStr">
        <is>
          <t>Balance Sheet Actuals — FY2025 ($ in millions)</t>
        </is>
      </c>
      <c r="B17" s="12" t="n"/>
      <c r="C17" s="12" t="n"/>
      <c r="D17" s="12" t="n"/>
      <c r="E17" s="12" t="n"/>
      <c r="F17" s="12" t="n"/>
      <c r="G17" s="12" t="n"/>
    </row>
    <row r="18">
      <c r="A18" s="4" t="inlineStr">
        <is>
          <t>Cash &amp; equivalents</t>
        </is>
      </c>
      <c r="B18" s="6" t="n">
        <v>3726</v>
      </c>
    </row>
    <row r="19">
      <c r="A19" s="4" t="inlineStr">
        <is>
          <t>Total debt</t>
        </is>
      </c>
      <c r="B19" s="6" t="n">
        <v>1491</v>
      </c>
    </row>
    <row r="20">
      <c r="A20" s="4" t="inlineStr">
        <is>
          <t>Diluted shares outstanding (millions)</t>
        </is>
      </c>
      <c r="B20" s="6" t="n">
        <v>1046.691</v>
      </c>
    </row>
    <row r="22">
      <c r="A22" s="3" t="inlineStr">
        <is>
          <t>5-Year Projection ($ in millions)</t>
        </is>
      </c>
      <c r="B22" s="12" t="n"/>
      <c r="C22" s="12" t="n"/>
      <c r="D22" s="12" t="n"/>
      <c r="E22" s="12" t="n"/>
      <c r="F22" s="12" t="n"/>
      <c r="G22" s="12" t="n"/>
    </row>
    <row r="23">
      <c r="A23" s="4" t="inlineStr">
        <is>
          <t>Fiscal year</t>
        </is>
      </c>
      <c r="B23" s="14" t="inlineStr">
        <is>
          <t>FY2026E</t>
        </is>
      </c>
      <c r="C23" s="14" t="inlineStr">
        <is>
          <t>FY2027E</t>
        </is>
      </c>
      <c r="D23" s="14" t="inlineStr">
        <is>
          <t>FY2028E</t>
        </is>
      </c>
      <c r="E23" s="14" t="inlineStr">
        <is>
          <t>FY2029E</t>
        </is>
      </c>
      <c r="F23" s="14" t="inlineStr">
        <is>
          <t>FY2030E</t>
        </is>
      </c>
    </row>
    <row r="24">
      <c r="A24" s="4" t="inlineStr">
        <is>
          <t>Revenue growth rate</t>
        </is>
      </c>
      <c r="B24" s="5">
        <f>$B$7+($B$6-$B$7)*1/5</f>
        <v/>
      </c>
      <c r="C24" s="5">
        <f>$B$7+($B$6-$B$7)*2/5</f>
        <v/>
      </c>
      <c r="D24" s="5">
        <f>$B$7+($B$6-$B$7)*3/5</f>
        <v/>
      </c>
      <c r="E24" s="5">
        <f>$B$7+($B$6-$B$7)*4/5</f>
        <v/>
      </c>
      <c r="F24" s="5">
        <f>$B$7+($B$6-$B$7)*5/5</f>
        <v/>
      </c>
    </row>
    <row r="25">
      <c r="A25" s="4" t="inlineStr">
        <is>
          <t>Projected revenue</t>
        </is>
      </c>
      <c r="B25" s="6">
        <f>F12*(1+B24)</f>
        <v/>
      </c>
      <c r="C25" s="6">
        <f>B25*(1+C24)</f>
        <v/>
      </c>
      <c r="D25" s="6">
        <f>C25*(1+D24)</f>
        <v/>
      </c>
      <c r="E25" s="6">
        <f>D25*(1+E24)</f>
        <v/>
      </c>
      <c r="F25" s="6">
        <f>E25*(1+F24)</f>
        <v/>
      </c>
    </row>
    <row r="26">
      <c r="A26" s="4" t="inlineStr">
        <is>
          <t>FCF margin (assumption, held flat)</t>
        </is>
      </c>
      <c r="B26" s="5">
        <f>$B$8</f>
        <v/>
      </c>
      <c r="C26" s="5">
        <f>$B$8</f>
        <v/>
      </c>
      <c r="D26" s="5">
        <f>$B$8</f>
        <v/>
      </c>
      <c r="E26" s="5">
        <f>$B$8</f>
        <v/>
      </c>
      <c r="F26" s="5">
        <f>$B$8</f>
        <v/>
      </c>
    </row>
    <row r="27">
      <c r="A27" s="4" t="inlineStr">
        <is>
          <t>Projected unlevered FCF</t>
        </is>
      </c>
      <c r="B27" s="6">
        <f>B25*B26</f>
        <v/>
      </c>
      <c r="C27" s="6">
        <f>C25*C26</f>
        <v/>
      </c>
      <c r="D27" s="6">
        <f>D25*D26</f>
        <v/>
      </c>
      <c r="E27" s="6">
        <f>E25*E26</f>
        <v/>
      </c>
      <c r="F27" s="6">
        <f>F25*F26</f>
        <v/>
      </c>
    </row>
    <row r="28">
      <c r="A28" s="4" t="inlineStr">
        <is>
          <t>Discount factor</t>
        </is>
      </c>
      <c r="B28" s="15">
        <f>1/(1+$B$5)^1</f>
        <v/>
      </c>
      <c r="C28" s="15">
        <f>1/(1+$B$5)^2</f>
        <v/>
      </c>
      <c r="D28" s="15">
        <f>1/(1+$B$5)^3</f>
        <v/>
      </c>
      <c r="E28" s="15">
        <f>1/(1+$B$5)^4</f>
        <v/>
      </c>
      <c r="F28" s="15">
        <f>1/(1+$B$5)^5</f>
        <v/>
      </c>
    </row>
    <row r="29">
      <c r="A29" s="4" t="inlineStr">
        <is>
          <t>PV of FCF</t>
        </is>
      </c>
      <c r="B29" s="6">
        <f>B27*B28</f>
        <v/>
      </c>
      <c r="C29" s="6">
        <f>C27*C28</f>
        <v/>
      </c>
      <c r="D29" s="6">
        <f>D27*D28</f>
        <v/>
      </c>
      <c r="E29" s="6">
        <f>E27*E28</f>
        <v/>
      </c>
      <c r="F29" s="6">
        <f>F27*F28</f>
        <v/>
      </c>
    </row>
    <row r="31">
      <c r="A31" s="3" t="inlineStr">
        <is>
          <t>Terminal Value &amp; Valuation</t>
        </is>
      </c>
      <c r="B31" s="12" t="n"/>
      <c r="C31" s="12" t="n"/>
      <c r="D31" s="12" t="n"/>
      <c r="E31" s="12" t="n"/>
      <c r="F31" s="12" t="n"/>
      <c r="G31" s="12" t="n"/>
    </row>
    <row r="32">
      <c r="A32" s="4" t="inlineStr">
        <is>
          <t>Terminal value (end of FY2030)</t>
        </is>
      </c>
      <c r="B32" s="6">
        <f>F27*(1+$B$6)/($B$5-$B$6)</f>
        <v/>
      </c>
    </row>
    <row r="33">
      <c r="A33" s="4" t="inlineStr">
        <is>
          <t>PV of terminal value</t>
        </is>
      </c>
      <c r="B33" s="6">
        <f>B32*F28</f>
        <v/>
      </c>
    </row>
    <row r="34">
      <c r="A34" s="4" t="inlineStr">
        <is>
          <t>Sum of PV of projected FCFs</t>
        </is>
      </c>
      <c r="B34" s="6">
        <f>SUM(B29:F29)</f>
        <v/>
      </c>
    </row>
    <row r="35">
      <c r="A35" s="4" t="inlineStr">
        <is>
          <t>Enterprise value</t>
        </is>
      </c>
      <c r="B35" s="16">
        <f>B33+B34</f>
        <v/>
      </c>
    </row>
    <row r="36">
      <c r="A36" s="4" t="inlineStr">
        <is>
          <t>Less: total debt</t>
        </is>
      </c>
      <c r="B36" s="6">
        <f>-B19</f>
        <v/>
      </c>
    </row>
    <row r="37">
      <c r="A37" s="4" t="inlineStr">
        <is>
          <t>Plus: cash &amp; equivalents</t>
        </is>
      </c>
      <c r="B37" s="6">
        <f>B18</f>
        <v/>
      </c>
    </row>
    <row r="38">
      <c r="A38" s="4" t="inlineStr">
        <is>
          <t>Equity value</t>
        </is>
      </c>
      <c r="B38" s="16">
        <f>B35+B36+B37</f>
        <v/>
      </c>
    </row>
    <row r="39">
      <c r="A39" s="4" t="inlineStr">
        <is>
          <t>Diluted shares outstanding (millions)</t>
        </is>
      </c>
      <c r="B39" s="6">
        <f>B20</f>
        <v/>
      </c>
    </row>
    <row r="40">
      <c r="A40" s="4" t="inlineStr">
        <is>
          <t>Implied value per share</t>
        </is>
      </c>
      <c r="B40" s="7">
        <f>B38/B39</f>
        <v/>
      </c>
    </row>
    <row r="42">
      <c r="A42" s="3" t="inlineStr">
        <is>
          <t>Sensitivity: Implied Value/Share (WACC x Terminal Growth)</t>
        </is>
      </c>
      <c r="B42" s="12" t="n"/>
      <c r="C42" s="12" t="n"/>
      <c r="D42" s="12" t="n"/>
      <c r="E42" s="12" t="n"/>
      <c r="F42" s="12" t="n"/>
      <c r="G42" s="12" t="n"/>
    </row>
    <row r="43">
      <c r="B43" s="17" t="inlineStr">
        <is>
          <t>WACC \ Term. g</t>
        </is>
      </c>
      <c r="C43" s="18" t="n">
        <v>0.02</v>
      </c>
      <c r="D43" s="18" t="n">
        <v>0.025</v>
      </c>
      <c r="E43" s="18" t="n">
        <v>0.03</v>
      </c>
      <c r="F43" s="18" t="n">
        <v>0.035</v>
      </c>
      <c r="G43" s="18" t="n">
        <v>0.04</v>
      </c>
    </row>
    <row r="44">
      <c r="B44" s="19" t="n">
        <v>0.08</v>
      </c>
      <c r="C44" s="20">
        <f>((((($F$12*(1+($B$7+(C$43-$B$7)*1/5)))*$B$8)/(1+$B$44)^1)+((($F$12*(1+($B$7+(C$43-$B$7)*1/5))*(1+($B$7+(C$43-$B$7)*2/5)))*$B$8)/(1+$B$44)^2)+((($F$12*(1+($B$7+(C$43-$B$7)*1/5))*(1+($B$7+(C$43-$B$7)*2/5))*(1+($B$7+(C$43-$B$7)*3/5)))*$B$8)/(1+$B$44)^3)+((($F$12*(1+($B$7+(C$43-$B$7)*1/5))*(1+($B$7+(C$43-$B$7)*2/5))*(1+($B$7+(C$43-$B$7)*3/5))*(1+($B$7+(C$43-$B$7)*4/5)))*$B$8)/(1+$B$44)^4)+((($F$12*(1+($B$7+(C$43-$B$7)*1/5))*(1+($B$7+(C$43-$B$7)*2/5))*(1+($B$7+(C$43-$B$7)*3/5))*(1+($B$7+(C$43-$B$7)*4/5))*(1+($B$7+(C$43-$B$7)*5/5)))*$B$8)/(1+$B$44)^5)+((((($F$12*(1+($B$7+(C$43-$B$7)*1/5))*(1+($B$7+(C$43-$B$7)*2/5))*(1+($B$7+(C$43-$B$7)*3/5))*(1+($B$7+(C$43-$B$7)*4/5))*(1+($B$7+(C$43-$B$7)*5/5)))*$B$8)*(1+C$43))/($B$44-C$43))/(1+$B$44)^5))-$B$19+$B$18)/$B$20</f>
        <v/>
      </c>
      <c r="D44" s="20">
        <f>((((($F$12*(1+($B$7+(D$43-$B$7)*1/5)))*$B$8)/(1+$B$44)^1)+((($F$12*(1+($B$7+(D$43-$B$7)*1/5))*(1+($B$7+(D$43-$B$7)*2/5)))*$B$8)/(1+$B$44)^2)+((($F$12*(1+($B$7+(D$43-$B$7)*1/5))*(1+($B$7+(D$43-$B$7)*2/5))*(1+($B$7+(D$43-$B$7)*3/5)))*$B$8)/(1+$B$44)^3)+((($F$12*(1+($B$7+(D$43-$B$7)*1/5))*(1+($B$7+(D$43-$B$7)*2/5))*(1+($B$7+(D$43-$B$7)*3/5))*(1+($B$7+(D$43-$B$7)*4/5)))*$B$8)/(1+$B$44)^4)+((($F$12*(1+($B$7+(D$43-$B$7)*1/5))*(1+($B$7+(D$43-$B$7)*2/5))*(1+($B$7+(D$43-$B$7)*3/5))*(1+($B$7+(D$43-$B$7)*4/5))*(1+($B$7+(D$43-$B$7)*5/5)))*$B$8)/(1+$B$44)^5)+((((($F$12*(1+($B$7+(D$43-$B$7)*1/5))*(1+($B$7+(D$43-$B$7)*2/5))*(1+($B$7+(D$43-$B$7)*3/5))*(1+($B$7+(D$43-$B$7)*4/5))*(1+($B$7+(D$43-$B$7)*5/5)))*$B$8)*(1+D$43))/($B$44-D$43))/(1+$B$44)^5))-$B$19+$B$18)/$B$20</f>
        <v/>
      </c>
      <c r="E44" s="20">
        <f>((((($F$12*(1+($B$7+(E$43-$B$7)*1/5)))*$B$8)/(1+$B$44)^1)+((($F$12*(1+($B$7+(E$43-$B$7)*1/5))*(1+($B$7+(E$43-$B$7)*2/5)))*$B$8)/(1+$B$44)^2)+((($F$12*(1+($B$7+(E$43-$B$7)*1/5))*(1+($B$7+(E$43-$B$7)*2/5))*(1+($B$7+(E$43-$B$7)*3/5)))*$B$8)/(1+$B$44)^3)+((($F$12*(1+($B$7+(E$43-$B$7)*1/5))*(1+($B$7+(E$43-$B$7)*2/5))*(1+($B$7+(E$43-$B$7)*3/5))*(1+($B$7+(E$43-$B$7)*4/5)))*$B$8)/(1+$B$44)^4)+((($F$12*(1+($B$7+(E$43-$B$7)*1/5))*(1+($B$7+(E$43-$B$7)*2/5))*(1+($B$7+(E$43-$B$7)*3/5))*(1+($B$7+(E$43-$B$7)*4/5))*(1+($B$7+(E$43-$B$7)*5/5)))*$B$8)/(1+$B$44)^5)+((((($F$12*(1+($B$7+(E$43-$B$7)*1/5))*(1+($B$7+(E$43-$B$7)*2/5))*(1+($B$7+(E$43-$B$7)*3/5))*(1+($B$7+(E$43-$B$7)*4/5))*(1+($B$7+(E$43-$B$7)*5/5)))*$B$8)*(1+E$43))/($B$44-E$43))/(1+$B$44)^5))-$B$19+$B$18)/$B$20</f>
        <v/>
      </c>
      <c r="F44" s="20">
        <f>((((($F$12*(1+($B$7+(F$43-$B$7)*1/5)))*$B$8)/(1+$B$44)^1)+((($F$12*(1+($B$7+(F$43-$B$7)*1/5))*(1+($B$7+(F$43-$B$7)*2/5)))*$B$8)/(1+$B$44)^2)+((($F$12*(1+($B$7+(F$43-$B$7)*1/5))*(1+($B$7+(F$43-$B$7)*2/5))*(1+($B$7+(F$43-$B$7)*3/5)))*$B$8)/(1+$B$44)^3)+((($F$12*(1+($B$7+(F$43-$B$7)*1/5))*(1+($B$7+(F$43-$B$7)*2/5))*(1+($B$7+(F$43-$B$7)*3/5))*(1+($B$7+(F$43-$B$7)*4/5)))*$B$8)/(1+$B$44)^4)+((($F$12*(1+($B$7+(F$43-$B$7)*1/5))*(1+($B$7+(F$43-$B$7)*2/5))*(1+($B$7+(F$43-$B$7)*3/5))*(1+($B$7+(F$43-$B$7)*4/5))*(1+($B$7+(F$43-$B$7)*5/5)))*$B$8)/(1+$B$44)^5)+((((($F$12*(1+($B$7+(F$43-$B$7)*1/5))*(1+($B$7+(F$43-$B$7)*2/5))*(1+($B$7+(F$43-$B$7)*3/5))*(1+($B$7+(F$43-$B$7)*4/5))*(1+($B$7+(F$43-$B$7)*5/5)))*$B$8)*(1+F$43))/($B$44-F$43))/(1+$B$44)^5))-$B$19+$B$18)/$B$20</f>
        <v/>
      </c>
      <c r="G44" s="20">
        <f>((((($F$12*(1+($B$7+(G$43-$B$7)*1/5)))*$B$8)/(1+$B$44)^1)+((($F$12*(1+($B$7+(G$43-$B$7)*1/5))*(1+($B$7+(G$43-$B$7)*2/5)))*$B$8)/(1+$B$44)^2)+((($F$12*(1+($B$7+(G$43-$B$7)*1/5))*(1+($B$7+(G$43-$B$7)*2/5))*(1+($B$7+(G$43-$B$7)*3/5)))*$B$8)/(1+$B$44)^3)+((($F$12*(1+($B$7+(G$43-$B$7)*1/5))*(1+($B$7+(G$43-$B$7)*2/5))*(1+($B$7+(G$43-$B$7)*3/5))*(1+($B$7+(G$43-$B$7)*4/5)))*$B$8)/(1+$B$44)^4)+((($F$12*(1+($B$7+(G$43-$B$7)*1/5))*(1+($B$7+(G$43-$B$7)*2/5))*(1+($B$7+(G$43-$B$7)*3/5))*(1+($B$7+(G$43-$B$7)*4/5))*(1+($B$7+(G$43-$B$7)*5/5)))*$B$8)/(1+$B$44)^5)+((((($F$12*(1+($B$7+(G$43-$B$7)*1/5))*(1+($B$7+(G$43-$B$7)*2/5))*(1+($B$7+(G$43-$B$7)*3/5))*(1+($B$7+(G$43-$B$7)*4/5))*(1+($B$7+(G$43-$B$7)*5/5)))*$B$8)*(1+G$43))/($B$44-G$43))/(1+$B$44)^5))-$B$19+$B$18)/$B$20</f>
        <v/>
      </c>
    </row>
    <row r="45">
      <c r="B45" s="19" t="n">
        <v>0.09</v>
      </c>
      <c r="C45" s="20">
        <f>((((($F$12*(1+($B$7+(C$43-$B$7)*1/5)))*$B$8)/(1+$B$45)^1)+((($F$12*(1+($B$7+(C$43-$B$7)*1/5))*(1+($B$7+(C$43-$B$7)*2/5)))*$B$8)/(1+$B$45)^2)+((($F$12*(1+($B$7+(C$43-$B$7)*1/5))*(1+($B$7+(C$43-$B$7)*2/5))*(1+($B$7+(C$43-$B$7)*3/5)))*$B$8)/(1+$B$45)^3)+((($F$12*(1+($B$7+(C$43-$B$7)*1/5))*(1+($B$7+(C$43-$B$7)*2/5))*(1+($B$7+(C$43-$B$7)*3/5))*(1+($B$7+(C$43-$B$7)*4/5)))*$B$8)/(1+$B$45)^4)+((($F$12*(1+($B$7+(C$43-$B$7)*1/5))*(1+($B$7+(C$43-$B$7)*2/5))*(1+($B$7+(C$43-$B$7)*3/5))*(1+($B$7+(C$43-$B$7)*4/5))*(1+($B$7+(C$43-$B$7)*5/5)))*$B$8)/(1+$B$45)^5)+((((($F$12*(1+($B$7+(C$43-$B$7)*1/5))*(1+($B$7+(C$43-$B$7)*2/5))*(1+($B$7+(C$43-$B$7)*3/5))*(1+($B$7+(C$43-$B$7)*4/5))*(1+($B$7+(C$43-$B$7)*5/5)))*$B$8)*(1+C$43))/($B$45-C$43))/(1+$B$45)^5))-$B$19+$B$18)/$B$20</f>
        <v/>
      </c>
      <c r="D45" s="20">
        <f>((((($F$12*(1+($B$7+(D$43-$B$7)*1/5)))*$B$8)/(1+$B$45)^1)+((($F$12*(1+($B$7+(D$43-$B$7)*1/5))*(1+($B$7+(D$43-$B$7)*2/5)))*$B$8)/(1+$B$45)^2)+((($F$12*(1+($B$7+(D$43-$B$7)*1/5))*(1+($B$7+(D$43-$B$7)*2/5))*(1+($B$7+(D$43-$B$7)*3/5)))*$B$8)/(1+$B$45)^3)+((($F$12*(1+($B$7+(D$43-$B$7)*1/5))*(1+($B$7+(D$43-$B$7)*2/5))*(1+($B$7+(D$43-$B$7)*3/5))*(1+($B$7+(D$43-$B$7)*4/5)))*$B$8)/(1+$B$45)^4)+((($F$12*(1+($B$7+(D$43-$B$7)*1/5))*(1+($B$7+(D$43-$B$7)*2/5))*(1+($B$7+(D$43-$B$7)*3/5))*(1+($B$7+(D$43-$B$7)*4/5))*(1+($B$7+(D$43-$B$7)*5/5)))*$B$8)/(1+$B$45)^5)+((((($F$12*(1+($B$7+(D$43-$B$7)*1/5))*(1+($B$7+(D$43-$B$7)*2/5))*(1+($B$7+(D$43-$B$7)*3/5))*(1+($B$7+(D$43-$B$7)*4/5))*(1+($B$7+(D$43-$B$7)*5/5)))*$B$8)*(1+D$43))/($B$45-D$43))/(1+$B$45)^5))-$B$19+$B$18)/$B$20</f>
        <v/>
      </c>
      <c r="E45" s="20">
        <f>((((($F$12*(1+($B$7+(E$43-$B$7)*1/5)))*$B$8)/(1+$B$45)^1)+((($F$12*(1+($B$7+(E$43-$B$7)*1/5))*(1+($B$7+(E$43-$B$7)*2/5)))*$B$8)/(1+$B$45)^2)+((($F$12*(1+($B$7+(E$43-$B$7)*1/5))*(1+($B$7+(E$43-$B$7)*2/5))*(1+($B$7+(E$43-$B$7)*3/5)))*$B$8)/(1+$B$45)^3)+((($F$12*(1+($B$7+(E$43-$B$7)*1/5))*(1+($B$7+(E$43-$B$7)*2/5))*(1+($B$7+(E$43-$B$7)*3/5))*(1+($B$7+(E$43-$B$7)*4/5)))*$B$8)/(1+$B$45)^4)+((($F$12*(1+($B$7+(E$43-$B$7)*1/5))*(1+($B$7+(E$43-$B$7)*2/5))*(1+($B$7+(E$43-$B$7)*3/5))*(1+($B$7+(E$43-$B$7)*4/5))*(1+($B$7+(E$43-$B$7)*5/5)))*$B$8)/(1+$B$45)^5)+((((($F$12*(1+($B$7+(E$43-$B$7)*1/5))*(1+($B$7+(E$43-$B$7)*2/5))*(1+($B$7+(E$43-$B$7)*3/5))*(1+($B$7+(E$43-$B$7)*4/5))*(1+($B$7+(E$43-$B$7)*5/5)))*$B$8)*(1+E$43))/($B$45-E$43))/(1+$B$45)^5))-$B$19+$B$18)/$B$20</f>
        <v/>
      </c>
      <c r="F45" s="20">
        <f>((((($F$12*(1+($B$7+(F$43-$B$7)*1/5)))*$B$8)/(1+$B$45)^1)+((($F$12*(1+($B$7+(F$43-$B$7)*1/5))*(1+($B$7+(F$43-$B$7)*2/5)))*$B$8)/(1+$B$45)^2)+((($F$12*(1+($B$7+(F$43-$B$7)*1/5))*(1+($B$7+(F$43-$B$7)*2/5))*(1+($B$7+(F$43-$B$7)*3/5)))*$B$8)/(1+$B$45)^3)+((($F$12*(1+($B$7+(F$43-$B$7)*1/5))*(1+($B$7+(F$43-$B$7)*2/5))*(1+($B$7+(F$43-$B$7)*3/5))*(1+($B$7+(F$43-$B$7)*4/5)))*$B$8)/(1+$B$45)^4)+((($F$12*(1+($B$7+(F$43-$B$7)*1/5))*(1+($B$7+(F$43-$B$7)*2/5))*(1+($B$7+(F$43-$B$7)*3/5))*(1+($B$7+(F$43-$B$7)*4/5))*(1+($B$7+(F$43-$B$7)*5/5)))*$B$8)/(1+$B$45)^5)+((((($F$12*(1+($B$7+(F$43-$B$7)*1/5))*(1+($B$7+(F$43-$B$7)*2/5))*(1+($B$7+(F$43-$B$7)*3/5))*(1+($B$7+(F$43-$B$7)*4/5))*(1+($B$7+(F$43-$B$7)*5/5)))*$B$8)*(1+F$43))/($B$45-F$43))/(1+$B$45)^5))-$B$19+$B$18)/$B$20</f>
        <v/>
      </c>
      <c r="G45" s="20">
        <f>((((($F$12*(1+($B$7+(G$43-$B$7)*1/5)))*$B$8)/(1+$B$45)^1)+((($F$12*(1+($B$7+(G$43-$B$7)*1/5))*(1+($B$7+(G$43-$B$7)*2/5)))*$B$8)/(1+$B$45)^2)+((($F$12*(1+($B$7+(G$43-$B$7)*1/5))*(1+($B$7+(G$43-$B$7)*2/5))*(1+($B$7+(G$43-$B$7)*3/5)))*$B$8)/(1+$B$45)^3)+((($F$12*(1+($B$7+(G$43-$B$7)*1/5))*(1+($B$7+(G$43-$B$7)*2/5))*(1+($B$7+(G$43-$B$7)*3/5))*(1+($B$7+(G$43-$B$7)*4/5)))*$B$8)/(1+$B$45)^4)+((($F$12*(1+($B$7+(G$43-$B$7)*1/5))*(1+($B$7+(G$43-$B$7)*2/5))*(1+($B$7+(G$43-$B$7)*3/5))*(1+($B$7+(G$43-$B$7)*4/5))*(1+($B$7+(G$43-$B$7)*5/5)))*$B$8)/(1+$B$45)^5)+((((($F$12*(1+($B$7+(G$43-$B$7)*1/5))*(1+($B$7+(G$43-$B$7)*2/5))*(1+($B$7+(G$43-$B$7)*3/5))*(1+($B$7+(G$43-$B$7)*4/5))*(1+($B$7+(G$43-$B$7)*5/5)))*$B$8)*(1+G$43))/($B$45-G$43))/(1+$B$45)^5))-$B$19+$B$18)/$B$20</f>
        <v/>
      </c>
    </row>
    <row r="46">
      <c r="B46" s="19" t="n">
        <v>0.1</v>
      </c>
      <c r="C46" s="20">
        <f>((((($F$12*(1+($B$7+(C$43-$B$7)*1/5)))*$B$8)/(1+$B$46)^1)+((($F$12*(1+($B$7+(C$43-$B$7)*1/5))*(1+($B$7+(C$43-$B$7)*2/5)))*$B$8)/(1+$B$46)^2)+((($F$12*(1+($B$7+(C$43-$B$7)*1/5))*(1+($B$7+(C$43-$B$7)*2/5))*(1+($B$7+(C$43-$B$7)*3/5)))*$B$8)/(1+$B$46)^3)+((($F$12*(1+($B$7+(C$43-$B$7)*1/5))*(1+($B$7+(C$43-$B$7)*2/5))*(1+($B$7+(C$43-$B$7)*3/5))*(1+($B$7+(C$43-$B$7)*4/5)))*$B$8)/(1+$B$46)^4)+((($F$12*(1+($B$7+(C$43-$B$7)*1/5))*(1+($B$7+(C$43-$B$7)*2/5))*(1+($B$7+(C$43-$B$7)*3/5))*(1+($B$7+(C$43-$B$7)*4/5))*(1+($B$7+(C$43-$B$7)*5/5)))*$B$8)/(1+$B$46)^5)+((((($F$12*(1+($B$7+(C$43-$B$7)*1/5))*(1+($B$7+(C$43-$B$7)*2/5))*(1+($B$7+(C$43-$B$7)*3/5))*(1+($B$7+(C$43-$B$7)*4/5))*(1+($B$7+(C$43-$B$7)*5/5)))*$B$8)*(1+C$43))/($B$46-C$43))/(1+$B$46)^5))-$B$19+$B$18)/$B$20</f>
        <v/>
      </c>
      <c r="D46" s="20">
        <f>((((($F$12*(1+($B$7+(D$43-$B$7)*1/5)))*$B$8)/(1+$B$46)^1)+((($F$12*(1+($B$7+(D$43-$B$7)*1/5))*(1+($B$7+(D$43-$B$7)*2/5)))*$B$8)/(1+$B$46)^2)+((($F$12*(1+($B$7+(D$43-$B$7)*1/5))*(1+($B$7+(D$43-$B$7)*2/5))*(1+($B$7+(D$43-$B$7)*3/5)))*$B$8)/(1+$B$46)^3)+((($F$12*(1+($B$7+(D$43-$B$7)*1/5))*(1+($B$7+(D$43-$B$7)*2/5))*(1+($B$7+(D$43-$B$7)*3/5))*(1+($B$7+(D$43-$B$7)*4/5)))*$B$8)/(1+$B$46)^4)+((($F$12*(1+($B$7+(D$43-$B$7)*1/5))*(1+($B$7+(D$43-$B$7)*2/5))*(1+($B$7+(D$43-$B$7)*3/5))*(1+($B$7+(D$43-$B$7)*4/5))*(1+($B$7+(D$43-$B$7)*5/5)))*$B$8)/(1+$B$46)^5)+((((($F$12*(1+($B$7+(D$43-$B$7)*1/5))*(1+($B$7+(D$43-$B$7)*2/5))*(1+($B$7+(D$43-$B$7)*3/5))*(1+($B$7+(D$43-$B$7)*4/5))*(1+($B$7+(D$43-$B$7)*5/5)))*$B$8)*(1+D$43))/($B$46-D$43))/(1+$B$46)^5))-$B$19+$B$18)/$B$20</f>
        <v/>
      </c>
      <c r="E46" s="20">
        <f>((((($F$12*(1+($B$7+(E$43-$B$7)*1/5)))*$B$8)/(1+$B$46)^1)+((($F$12*(1+($B$7+(E$43-$B$7)*1/5))*(1+($B$7+(E$43-$B$7)*2/5)))*$B$8)/(1+$B$46)^2)+((($F$12*(1+($B$7+(E$43-$B$7)*1/5))*(1+($B$7+(E$43-$B$7)*2/5))*(1+($B$7+(E$43-$B$7)*3/5)))*$B$8)/(1+$B$46)^3)+((($F$12*(1+($B$7+(E$43-$B$7)*1/5))*(1+($B$7+(E$43-$B$7)*2/5))*(1+($B$7+(E$43-$B$7)*3/5))*(1+($B$7+(E$43-$B$7)*4/5)))*$B$8)/(1+$B$46)^4)+((($F$12*(1+($B$7+(E$43-$B$7)*1/5))*(1+($B$7+(E$43-$B$7)*2/5))*(1+($B$7+(E$43-$B$7)*3/5))*(1+($B$7+(E$43-$B$7)*4/5))*(1+($B$7+(E$43-$B$7)*5/5)))*$B$8)/(1+$B$46)^5)+((((($F$12*(1+($B$7+(E$43-$B$7)*1/5))*(1+($B$7+(E$43-$B$7)*2/5))*(1+($B$7+(E$43-$B$7)*3/5))*(1+($B$7+(E$43-$B$7)*4/5))*(1+($B$7+(E$43-$B$7)*5/5)))*$B$8)*(1+E$43))/($B$46-E$43))/(1+$B$46)^5))-$B$19+$B$18)/$B$20</f>
        <v/>
      </c>
      <c r="F46" s="20">
        <f>((((($F$12*(1+($B$7+(F$43-$B$7)*1/5)))*$B$8)/(1+$B$46)^1)+((($F$12*(1+($B$7+(F$43-$B$7)*1/5))*(1+($B$7+(F$43-$B$7)*2/5)))*$B$8)/(1+$B$46)^2)+((($F$12*(1+($B$7+(F$43-$B$7)*1/5))*(1+($B$7+(F$43-$B$7)*2/5))*(1+($B$7+(F$43-$B$7)*3/5)))*$B$8)/(1+$B$46)^3)+((($F$12*(1+($B$7+(F$43-$B$7)*1/5))*(1+($B$7+(F$43-$B$7)*2/5))*(1+($B$7+(F$43-$B$7)*3/5))*(1+($B$7+(F$43-$B$7)*4/5)))*$B$8)/(1+$B$46)^4)+((($F$12*(1+($B$7+(F$43-$B$7)*1/5))*(1+($B$7+(F$43-$B$7)*2/5))*(1+($B$7+(F$43-$B$7)*3/5))*(1+($B$7+(F$43-$B$7)*4/5))*(1+($B$7+(F$43-$B$7)*5/5)))*$B$8)/(1+$B$46)^5)+((((($F$12*(1+($B$7+(F$43-$B$7)*1/5))*(1+($B$7+(F$43-$B$7)*2/5))*(1+($B$7+(F$43-$B$7)*3/5))*(1+($B$7+(F$43-$B$7)*4/5))*(1+($B$7+(F$43-$B$7)*5/5)))*$B$8)*(1+F$43))/($B$46-F$43))/(1+$B$46)^5))-$B$19+$B$18)/$B$20</f>
        <v/>
      </c>
      <c r="G46" s="20">
        <f>((((($F$12*(1+($B$7+(G$43-$B$7)*1/5)))*$B$8)/(1+$B$46)^1)+((($F$12*(1+($B$7+(G$43-$B$7)*1/5))*(1+($B$7+(G$43-$B$7)*2/5)))*$B$8)/(1+$B$46)^2)+((($F$12*(1+($B$7+(G$43-$B$7)*1/5))*(1+($B$7+(G$43-$B$7)*2/5))*(1+($B$7+(G$43-$B$7)*3/5)))*$B$8)/(1+$B$46)^3)+((($F$12*(1+($B$7+(G$43-$B$7)*1/5))*(1+($B$7+(G$43-$B$7)*2/5))*(1+($B$7+(G$43-$B$7)*3/5))*(1+($B$7+(G$43-$B$7)*4/5)))*$B$8)/(1+$B$46)^4)+((($F$12*(1+($B$7+(G$43-$B$7)*1/5))*(1+($B$7+(G$43-$B$7)*2/5))*(1+($B$7+(G$43-$B$7)*3/5))*(1+($B$7+(G$43-$B$7)*4/5))*(1+($B$7+(G$43-$B$7)*5/5)))*$B$8)/(1+$B$46)^5)+((((($F$12*(1+($B$7+(G$43-$B$7)*1/5))*(1+($B$7+(G$43-$B$7)*2/5))*(1+($B$7+(G$43-$B$7)*3/5))*(1+($B$7+(G$43-$B$7)*4/5))*(1+($B$7+(G$43-$B$7)*5/5)))*$B$8)*(1+G$43))/($B$46-G$43))/(1+$B$46)^5))-$B$19+$B$18)/$B$20</f>
        <v/>
      </c>
    </row>
    <row r="47">
      <c r="B47" s="19" t="n">
        <v>0.11</v>
      </c>
      <c r="C47" s="20">
        <f>((((($F$12*(1+($B$7+(C$43-$B$7)*1/5)))*$B$8)/(1+$B$47)^1)+((($F$12*(1+($B$7+(C$43-$B$7)*1/5))*(1+($B$7+(C$43-$B$7)*2/5)))*$B$8)/(1+$B$47)^2)+((($F$12*(1+($B$7+(C$43-$B$7)*1/5))*(1+($B$7+(C$43-$B$7)*2/5))*(1+($B$7+(C$43-$B$7)*3/5)))*$B$8)/(1+$B$47)^3)+((($F$12*(1+($B$7+(C$43-$B$7)*1/5))*(1+($B$7+(C$43-$B$7)*2/5))*(1+($B$7+(C$43-$B$7)*3/5))*(1+($B$7+(C$43-$B$7)*4/5)))*$B$8)/(1+$B$47)^4)+((($F$12*(1+($B$7+(C$43-$B$7)*1/5))*(1+($B$7+(C$43-$B$7)*2/5))*(1+($B$7+(C$43-$B$7)*3/5))*(1+($B$7+(C$43-$B$7)*4/5))*(1+($B$7+(C$43-$B$7)*5/5)))*$B$8)/(1+$B$47)^5)+((((($F$12*(1+($B$7+(C$43-$B$7)*1/5))*(1+($B$7+(C$43-$B$7)*2/5))*(1+($B$7+(C$43-$B$7)*3/5))*(1+($B$7+(C$43-$B$7)*4/5))*(1+($B$7+(C$43-$B$7)*5/5)))*$B$8)*(1+C$43))/($B$47-C$43))/(1+$B$47)^5))-$B$19+$B$18)/$B$20</f>
        <v/>
      </c>
      <c r="D47" s="20">
        <f>((((($F$12*(1+($B$7+(D$43-$B$7)*1/5)))*$B$8)/(1+$B$47)^1)+((($F$12*(1+($B$7+(D$43-$B$7)*1/5))*(1+($B$7+(D$43-$B$7)*2/5)))*$B$8)/(1+$B$47)^2)+((($F$12*(1+($B$7+(D$43-$B$7)*1/5))*(1+($B$7+(D$43-$B$7)*2/5))*(1+($B$7+(D$43-$B$7)*3/5)))*$B$8)/(1+$B$47)^3)+((($F$12*(1+($B$7+(D$43-$B$7)*1/5))*(1+($B$7+(D$43-$B$7)*2/5))*(1+($B$7+(D$43-$B$7)*3/5))*(1+($B$7+(D$43-$B$7)*4/5)))*$B$8)/(1+$B$47)^4)+((($F$12*(1+($B$7+(D$43-$B$7)*1/5))*(1+($B$7+(D$43-$B$7)*2/5))*(1+($B$7+(D$43-$B$7)*3/5))*(1+($B$7+(D$43-$B$7)*4/5))*(1+($B$7+(D$43-$B$7)*5/5)))*$B$8)/(1+$B$47)^5)+((((($F$12*(1+($B$7+(D$43-$B$7)*1/5))*(1+($B$7+(D$43-$B$7)*2/5))*(1+($B$7+(D$43-$B$7)*3/5))*(1+($B$7+(D$43-$B$7)*4/5))*(1+($B$7+(D$43-$B$7)*5/5)))*$B$8)*(1+D$43))/($B$47-D$43))/(1+$B$47)^5))-$B$19+$B$18)/$B$20</f>
        <v/>
      </c>
      <c r="E47" s="20">
        <f>((((($F$12*(1+($B$7+(E$43-$B$7)*1/5)))*$B$8)/(1+$B$47)^1)+((($F$12*(1+($B$7+(E$43-$B$7)*1/5))*(1+($B$7+(E$43-$B$7)*2/5)))*$B$8)/(1+$B$47)^2)+((($F$12*(1+($B$7+(E$43-$B$7)*1/5))*(1+($B$7+(E$43-$B$7)*2/5))*(1+($B$7+(E$43-$B$7)*3/5)))*$B$8)/(1+$B$47)^3)+((($F$12*(1+($B$7+(E$43-$B$7)*1/5))*(1+($B$7+(E$43-$B$7)*2/5))*(1+($B$7+(E$43-$B$7)*3/5))*(1+($B$7+(E$43-$B$7)*4/5)))*$B$8)/(1+$B$47)^4)+((($F$12*(1+($B$7+(E$43-$B$7)*1/5))*(1+($B$7+(E$43-$B$7)*2/5))*(1+($B$7+(E$43-$B$7)*3/5))*(1+($B$7+(E$43-$B$7)*4/5))*(1+($B$7+(E$43-$B$7)*5/5)))*$B$8)/(1+$B$47)^5)+((((($F$12*(1+($B$7+(E$43-$B$7)*1/5))*(1+($B$7+(E$43-$B$7)*2/5))*(1+($B$7+(E$43-$B$7)*3/5))*(1+($B$7+(E$43-$B$7)*4/5))*(1+($B$7+(E$43-$B$7)*5/5)))*$B$8)*(1+E$43))/($B$47-E$43))/(1+$B$47)^5))-$B$19+$B$18)/$B$20</f>
        <v/>
      </c>
      <c r="F47" s="20">
        <f>((((($F$12*(1+($B$7+(F$43-$B$7)*1/5)))*$B$8)/(1+$B$47)^1)+((($F$12*(1+($B$7+(F$43-$B$7)*1/5))*(1+($B$7+(F$43-$B$7)*2/5)))*$B$8)/(1+$B$47)^2)+((($F$12*(1+($B$7+(F$43-$B$7)*1/5))*(1+($B$7+(F$43-$B$7)*2/5))*(1+($B$7+(F$43-$B$7)*3/5)))*$B$8)/(1+$B$47)^3)+((($F$12*(1+($B$7+(F$43-$B$7)*1/5))*(1+($B$7+(F$43-$B$7)*2/5))*(1+($B$7+(F$43-$B$7)*3/5))*(1+($B$7+(F$43-$B$7)*4/5)))*$B$8)/(1+$B$47)^4)+((($F$12*(1+($B$7+(F$43-$B$7)*1/5))*(1+($B$7+(F$43-$B$7)*2/5))*(1+($B$7+(F$43-$B$7)*3/5))*(1+($B$7+(F$43-$B$7)*4/5))*(1+($B$7+(F$43-$B$7)*5/5)))*$B$8)/(1+$B$47)^5)+((((($F$12*(1+($B$7+(F$43-$B$7)*1/5))*(1+($B$7+(F$43-$B$7)*2/5))*(1+($B$7+(F$43-$B$7)*3/5))*(1+($B$7+(F$43-$B$7)*4/5))*(1+($B$7+(F$43-$B$7)*5/5)))*$B$8)*(1+F$43))/($B$47-F$43))/(1+$B$47)^5))-$B$19+$B$18)/$B$20</f>
        <v/>
      </c>
      <c r="G47" s="20">
        <f>((((($F$12*(1+($B$7+(G$43-$B$7)*1/5)))*$B$8)/(1+$B$47)^1)+((($F$12*(1+($B$7+(G$43-$B$7)*1/5))*(1+($B$7+(G$43-$B$7)*2/5)))*$B$8)/(1+$B$47)^2)+((($F$12*(1+($B$7+(G$43-$B$7)*1/5))*(1+($B$7+(G$43-$B$7)*2/5))*(1+($B$7+(G$43-$B$7)*3/5)))*$B$8)/(1+$B$47)^3)+((($F$12*(1+($B$7+(G$43-$B$7)*1/5))*(1+($B$7+(G$43-$B$7)*2/5))*(1+($B$7+(G$43-$B$7)*3/5))*(1+($B$7+(G$43-$B$7)*4/5)))*$B$8)/(1+$B$47)^4)+((($F$12*(1+($B$7+(G$43-$B$7)*1/5))*(1+($B$7+(G$43-$B$7)*2/5))*(1+($B$7+(G$43-$B$7)*3/5))*(1+($B$7+(G$43-$B$7)*4/5))*(1+($B$7+(G$43-$B$7)*5/5)))*$B$8)/(1+$B$47)^5)+((((($F$12*(1+($B$7+(G$43-$B$7)*1/5))*(1+($B$7+(G$43-$B$7)*2/5))*(1+($B$7+(G$43-$B$7)*3/5))*(1+($B$7+(G$43-$B$7)*4/5))*(1+($B$7+(G$43-$B$7)*5/5)))*$B$8)*(1+G$43))/($B$47-G$43))/(1+$B$47)^5))-$B$19+$B$18)/$B$20</f>
        <v/>
      </c>
    </row>
    <row r="48">
      <c r="B48" s="19" t="n">
        <v>0.12</v>
      </c>
      <c r="C48" s="20">
        <f>((((($F$12*(1+($B$7+(C$43-$B$7)*1/5)))*$B$8)/(1+$B$48)^1)+((($F$12*(1+($B$7+(C$43-$B$7)*1/5))*(1+($B$7+(C$43-$B$7)*2/5)))*$B$8)/(1+$B$48)^2)+((($F$12*(1+($B$7+(C$43-$B$7)*1/5))*(1+($B$7+(C$43-$B$7)*2/5))*(1+($B$7+(C$43-$B$7)*3/5)))*$B$8)/(1+$B$48)^3)+((($F$12*(1+($B$7+(C$43-$B$7)*1/5))*(1+($B$7+(C$43-$B$7)*2/5))*(1+($B$7+(C$43-$B$7)*3/5))*(1+($B$7+(C$43-$B$7)*4/5)))*$B$8)/(1+$B$48)^4)+((($F$12*(1+($B$7+(C$43-$B$7)*1/5))*(1+($B$7+(C$43-$B$7)*2/5))*(1+($B$7+(C$43-$B$7)*3/5))*(1+($B$7+(C$43-$B$7)*4/5))*(1+($B$7+(C$43-$B$7)*5/5)))*$B$8)/(1+$B$48)^5)+((((($F$12*(1+($B$7+(C$43-$B$7)*1/5))*(1+($B$7+(C$43-$B$7)*2/5))*(1+($B$7+(C$43-$B$7)*3/5))*(1+($B$7+(C$43-$B$7)*4/5))*(1+($B$7+(C$43-$B$7)*5/5)))*$B$8)*(1+C$43))/($B$48-C$43))/(1+$B$48)^5))-$B$19+$B$18)/$B$20</f>
        <v/>
      </c>
      <c r="D48" s="20">
        <f>((((($F$12*(1+($B$7+(D$43-$B$7)*1/5)))*$B$8)/(1+$B$48)^1)+((($F$12*(1+($B$7+(D$43-$B$7)*1/5))*(1+($B$7+(D$43-$B$7)*2/5)))*$B$8)/(1+$B$48)^2)+((($F$12*(1+($B$7+(D$43-$B$7)*1/5))*(1+($B$7+(D$43-$B$7)*2/5))*(1+($B$7+(D$43-$B$7)*3/5)))*$B$8)/(1+$B$48)^3)+((($F$12*(1+($B$7+(D$43-$B$7)*1/5))*(1+($B$7+(D$43-$B$7)*2/5))*(1+($B$7+(D$43-$B$7)*3/5))*(1+($B$7+(D$43-$B$7)*4/5)))*$B$8)/(1+$B$48)^4)+((($F$12*(1+($B$7+(D$43-$B$7)*1/5))*(1+($B$7+(D$43-$B$7)*2/5))*(1+($B$7+(D$43-$B$7)*3/5))*(1+($B$7+(D$43-$B$7)*4/5))*(1+($B$7+(D$43-$B$7)*5/5)))*$B$8)/(1+$B$48)^5)+((((($F$12*(1+($B$7+(D$43-$B$7)*1/5))*(1+($B$7+(D$43-$B$7)*2/5))*(1+($B$7+(D$43-$B$7)*3/5))*(1+($B$7+(D$43-$B$7)*4/5))*(1+($B$7+(D$43-$B$7)*5/5)))*$B$8)*(1+D$43))/($B$48-D$43))/(1+$B$48)^5))-$B$19+$B$18)/$B$20</f>
        <v/>
      </c>
      <c r="E48" s="20">
        <f>((((($F$12*(1+($B$7+(E$43-$B$7)*1/5)))*$B$8)/(1+$B$48)^1)+((($F$12*(1+($B$7+(E$43-$B$7)*1/5))*(1+($B$7+(E$43-$B$7)*2/5)))*$B$8)/(1+$B$48)^2)+((($F$12*(1+($B$7+(E$43-$B$7)*1/5))*(1+($B$7+(E$43-$B$7)*2/5))*(1+($B$7+(E$43-$B$7)*3/5)))*$B$8)/(1+$B$48)^3)+((($F$12*(1+($B$7+(E$43-$B$7)*1/5))*(1+($B$7+(E$43-$B$7)*2/5))*(1+($B$7+(E$43-$B$7)*3/5))*(1+($B$7+(E$43-$B$7)*4/5)))*$B$8)/(1+$B$48)^4)+((($F$12*(1+($B$7+(E$43-$B$7)*1/5))*(1+($B$7+(E$43-$B$7)*2/5))*(1+($B$7+(E$43-$B$7)*3/5))*(1+($B$7+(E$43-$B$7)*4/5))*(1+($B$7+(E$43-$B$7)*5/5)))*$B$8)/(1+$B$48)^5)+((((($F$12*(1+($B$7+(E$43-$B$7)*1/5))*(1+($B$7+(E$43-$B$7)*2/5))*(1+($B$7+(E$43-$B$7)*3/5))*(1+($B$7+(E$43-$B$7)*4/5))*(1+($B$7+(E$43-$B$7)*5/5)))*$B$8)*(1+E$43))/($B$48-E$43))/(1+$B$48)^5))-$B$19+$B$18)/$B$20</f>
        <v/>
      </c>
      <c r="F48" s="20">
        <f>((((($F$12*(1+($B$7+(F$43-$B$7)*1/5)))*$B$8)/(1+$B$48)^1)+((($F$12*(1+($B$7+(F$43-$B$7)*1/5))*(1+($B$7+(F$43-$B$7)*2/5)))*$B$8)/(1+$B$48)^2)+((($F$12*(1+($B$7+(F$43-$B$7)*1/5))*(1+($B$7+(F$43-$B$7)*2/5))*(1+($B$7+(F$43-$B$7)*3/5)))*$B$8)/(1+$B$48)^3)+((($F$12*(1+($B$7+(F$43-$B$7)*1/5))*(1+($B$7+(F$43-$B$7)*2/5))*(1+($B$7+(F$43-$B$7)*3/5))*(1+($B$7+(F$43-$B$7)*4/5)))*$B$8)/(1+$B$48)^4)+((($F$12*(1+($B$7+(F$43-$B$7)*1/5))*(1+($B$7+(F$43-$B$7)*2/5))*(1+($B$7+(F$43-$B$7)*3/5))*(1+($B$7+(F$43-$B$7)*4/5))*(1+($B$7+(F$43-$B$7)*5/5)))*$B$8)/(1+$B$48)^5)+((((($F$12*(1+($B$7+(F$43-$B$7)*1/5))*(1+($B$7+(F$43-$B$7)*2/5))*(1+($B$7+(F$43-$B$7)*3/5))*(1+($B$7+(F$43-$B$7)*4/5))*(1+($B$7+(F$43-$B$7)*5/5)))*$B$8)*(1+F$43))/($B$48-F$43))/(1+$B$48)^5))-$B$19+$B$18)/$B$20</f>
        <v/>
      </c>
      <c r="G48" s="20">
        <f>((((($F$12*(1+($B$7+(G$43-$B$7)*1/5)))*$B$8)/(1+$B$48)^1)+((($F$12*(1+($B$7+(G$43-$B$7)*1/5))*(1+($B$7+(G$43-$B$7)*2/5)))*$B$8)/(1+$B$48)^2)+((($F$12*(1+($B$7+(G$43-$B$7)*1/5))*(1+($B$7+(G$43-$B$7)*2/5))*(1+($B$7+(G$43-$B$7)*3/5)))*$B$8)/(1+$B$48)^3)+((($F$12*(1+($B$7+(G$43-$B$7)*1/5))*(1+($B$7+(G$43-$B$7)*2/5))*(1+($B$7+(G$43-$B$7)*3/5))*(1+($B$7+(G$43-$B$7)*4/5)))*$B$8)/(1+$B$48)^4)+((($F$12*(1+($B$7+(G$43-$B$7)*1/5))*(1+($B$7+(G$43-$B$7)*2/5))*(1+($B$7+(G$43-$B$7)*3/5))*(1+($B$7+(G$43-$B$7)*4/5))*(1+($B$7+(G$43-$B$7)*5/5)))*$B$8)/(1+$B$48)^5)+((((($F$12*(1+($B$7+(G$43-$B$7)*1/5))*(1+($B$7+(G$43-$B$7)*2/5))*(1+($B$7+(G$43-$B$7)*3/5))*(1+($B$7+(G$43-$B$7)*4/5))*(1+($B$7+(G$43-$B$7)*5/5)))*$B$8)*(1+G$43))/($B$48-G$43))/(1+$B$48)^5))-$B$19+$B$18)/$B$20</f>
        <v/>
      </c>
    </row>
    <row r="50">
      <c r="A50" s="3" t="inlineStr">
        <is>
          <t>Tornado Inputs (other variable held at its base case)</t>
        </is>
      </c>
      <c r="B50" s="12" t="n"/>
      <c r="C50" s="12" t="n"/>
      <c r="D50" s="12" t="n"/>
      <c r="E50" s="12" t="n"/>
      <c r="F50" s="12" t="n"/>
      <c r="G50" s="12" t="n"/>
    </row>
    <row r="51">
      <c r="A51" s="17" t="inlineStr">
        <is>
          <t>Factor</t>
        </is>
      </c>
      <c r="B51" s="17" t="inlineStr">
        <is>
          <t>Low</t>
        </is>
      </c>
      <c r="C51" s="17" t="inlineStr">
        <is>
          <t>High</t>
        </is>
      </c>
      <c r="D51" s="17" t="inlineStr">
        <is>
          <t>Base (chart helper)</t>
        </is>
      </c>
      <c r="E51" s="17" t="inlineStr">
        <is>
          <t>Span (chart helper)</t>
        </is>
      </c>
    </row>
    <row r="52">
      <c r="A52" s="4" t="inlineStr">
        <is>
          <t>WACC (8% → 12%)</t>
        </is>
      </c>
      <c r="B52" s="8">
        <f>E44</f>
        <v/>
      </c>
      <c r="C52" s="8">
        <f>E48</f>
        <v/>
      </c>
      <c r="D52" s="8">
        <f>MIN(B52,C52)</f>
        <v/>
      </c>
      <c r="E52" s="8">
        <f>ABS(C52-B52)</f>
        <v/>
      </c>
    </row>
    <row r="53">
      <c r="A53" s="4" t="inlineStr">
        <is>
          <t>Terminal growth (2% → 4%)</t>
        </is>
      </c>
      <c r="B53" s="8">
        <f>C46</f>
        <v/>
      </c>
      <c r="C53" s="8">
        <f>G46</f>
        <v/>
      </c>
      <c r="D53" s="8">
        <f>MIN(B53,C53)</f>
        <v/>
      </c>
      <c r="E53" s="8">
        <f>ABS(C53-B53)</f>
        <v/>
      </c>
    </row>
  </sheetData>
  <conditionalFormatting sqref="C44:G4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WDAY — Workday, Inc.</t>
        </is>
      </c>
    </row>
    <row r="2">
      <c r="A2" s="4" t="inlineStr">
        <is>
          <t>Unlevered DCF | $ in millions except per-share and share count</t>
        </is>
      </c>
    </row>
    <row r="4">
      <c r="A4" s="3" t="inlineStr">
        <is>
          <t>Assumptions (edit the highlighted cells)</t>
        </is>
      </c>
      <c r="B4" s="12" t="n"/>
      <c r="C4" s="12" t="n"/>
      <c r="D4" s="12" t="n"/>
      <c r="E4" s="12" t="n"/>
      <c r="F4" s="12" t="n"/>
      <c r="G4" s="12" t="n"/>
    </row>
    <row r="5">
      <c r="A5" s="4" t="inlineStr">
        <is>
          <t>WACC (discount rate)</t>
        </is>
      </c>
      <c r="B5" s="13" t="n">
        <v>0.1</v>
      </c>
    </row>
    <row r="6">
      <c r="A6" s="4" t="inlineStr">
        <is>
          <t>Terminal growth rate</t>
        </is>
      </c>
      <c r="B6" s="13" t="n">
        <v>0.03</v>
      </c>
    </row>
    <row r="7">
      <c r="A7" s="4" t="inlineStr">
        <is>
          <t>Starting revenue growth rate</t>
        </is>
      </c>
      <c r="B7" s="13" t="n">
        <v>0.1309495619228036</v>
      </c>
      <c r="C7" s="2" t="inlineStr">
        <is>
          <t>default: most recent YoY revenue growth</t>
        </is>
      </c>
    </row>
    <row r="8">
      <c r="A8" s="4" t="inlineStr">
        <is>
          <t>Unlevered FCF margin (% of revenue)</t>
        </is>
      </c>
      <c r="B8" s="13" t="n">
        <v>0.2751277973060503</v>
      </c>
      <c r="C8" s="2" t="inlineStr">
        <is>
          <t>default: avg of last 2 fiscal years' FCF / revenue</t>
        </is>
      </c>
    </row>
    <row r="10">
      <c r="A10" s="3" t="inlineStr">
        <is>
          <t>Historical Trend ($ in millions)</t>
        </is>
      </c>
      <c r="B10" s="12" t="n"/>
      <c r="C10" s="12" t="n"/>
      <c r="D10" s="12" t="n"/>
      <c r="E10" s="12" t="n"/>
      <c r="F10" s="12" t="n"/>
      <c r="G10" s="12" t="n"/>
    </row>
    <row r="11">
      <c r="A11" s="4" t="inlineStr">
        <is>
          <t>Fiscal year</t>
        </is>
      </c>
      <c r="B11" s="14" t="n">
        <v>2022</v>
      </c>
      <c r="C11" s="14" t="n">
        <v>2023</v>
      </c>
      <c r="D11" s="14" t="n">
        <v>2024</v>
      </c>
      <c r="E11" s="14" t="n">
        <v>2025</v>
      </c>
      <c r="F11" s="14" t="n">
        <v>2026</v>
      </c>
    </row>
    <row r="12">
      <c r="A12" s="4" t="inlineStr">
        <is>
          <t>Revenue</t>
        </is>
      </c>
      <c r="B12" s="6" t="n">
        <v>5139</v>
      </c>
      <c r="C12" s="6" t="n">
        <v>6216</v>
      </c>
      <c r="D12" s="6" t="n">
        <v>7259</v>
      </c>
      <c r="E12" s="6" t="n">
        <v>8446</v>
      </c>
      <c r="F12" s="6" t="n">
        <v>9552</v>
      </c>
    </row>
    <row r="13">
      <c r="A13" s="4" t="inlineStr">
        <is>
          <t>Revenue growth %</t>
        </is>
      </c>
      <c r="C13" s="5">
        <f>C12/B12-1</f>
        <v/>
      </c>
      <c r="D13" s="5">
        <f>D12/C12-1</f>
        <v/>
      </c>
      <c r="E13" s="5">
        <f>E12/D12-1</f>
        <v/>
      </c>
      <c r="F13" s="5">
        <f>F12/E12-1</f>
        <v/>
      </c>
    </row>
    <row r="14">
      <c r="A14" s="4" t="inlineStr">
        <is>
          <t>Free cash flow</t>
        </is>
      </c>
      <c r="B14" s="6" t="n"/>
      <c r="C14" s="6" t="n">
        <v>1293</v>
      </c>
      <c r="D14" s="6" t="n">
        <v>1917</v>
      </c>
      <c r="E14" s="6" t="n">
        <v>2192</v>
      </c>
      <c r="F14" s="6" t="n">
        <v>2777</v>
      </c>
    </row>
    <row r="15">
      <c r="A15" s="4" t="inlineStr">
        <is>
          <t>FCF margin %</t>
        </is>
      </c>
      <c r="C15" s="5">
        <f>C14/C12</f>
        <v/>
      </c>
      <c r="D15" s="5">
        <f>D14/D12</f>
        <v/>
      </c>
      <c r="E15" s="5">
        <f>E14/E12</f>
        <v/>
      </c>
      <c r="F15" s="5">
        <f>F14/F12</f>
        <v/>
      </c>
    </row>
    <row r="17">
      <c r="A17" s="3" t="inlineStr">
        <is>
          <t>Balance Sheet Actuals — FY2026 ($ in millions)</t>
        </is>
      </c>
      <c r="B17" s="12" t="n"/>
      <c r="C17" s="12" t="n"/>
      <c r="D17" s="12" t="n"/>
      <c r="E17" s="12" t="n"/>
      <c r="F17" s="12" t="n"/>
      <c r="G17" s="12" t="n"/>
    </row>
    <row r="18">
      <c r="A18" s="4" t="inlineStr">
        <is>
          <t>Cash &amp; equivalents</t>
        </is>
      </c>
      <c r="B18" s="6" t="n">
        <v>1501</v>
      </c>
    </row>
    <row r="19">
      <c r="A19" s="4" t="inlineStr">
        <is>
          <t>Total debt</t>
        </is>
      </c>
      <c r="B19" s="6" t="n">
        <v>2987</v>
      </c>
    </row>
    <row r="20">
      <c r="A20" s="4" t="inlineStr">
        <is>
          <t>Diluted shares outstanding (millions)</t>
        </is>
      </c>
      <c r="B20" s="6" t="n">
        <v>268.117</v>
      </c>
    </row>
    <row r="22">
      <c r="A22" s="3" t="inlineStr">
        <is>
          <t>5-Year Projection ($ in millions)</t>
        </is>
      </c>
      <c r="B22" s="12" t="n"/>
      <c r="C22" s="12" t="n"/>
      <c r="D22" s="12" t="n"/>
      <c r="E22" s="12" t="n"/>
      <c r="F22" s="12" t="n"/>
      <c r="G22" s="12" t="n"/>
    </row>
    <row r="23">
      <c r="A23" s="4" t="inlineStr">
        <is>
          <t>Fiscal year</t>
        </is>
      </c>
      <c r="B23" s="14" t="inlineStr">
        <is>
          <t>FY2027E</t>
        </is>
      </c>
      <c r="C23" s="14" t="inlineStr">
        <is>
          <t>FY2028E</t>
        </is>
      </c>
      <c r="D23" s="14" t="inlineStr">
        <is>
          <t>FY2029E</t>
        </is>
      </c>
      <c r="E23" s="14" t="inlineStr">
        <is>
          <t>FY2030E</t>
        </is>
      </c>
      <c r="F23" s="14" t="inlineStr">
        <is>
          <t>FY2031E</t>
        </is>
      </c>
    </row>
    <row r="24">
      <c r="A24" s="4" t="inlineStr">
        <is>
          <t>Revenue growth rate</t>
        </is>
      </c>
      <c r="B24" s="5">
        <f>$B$7+($B$6-$B$7)*1/5</f>
        <v/>
      </c>
      <c r="C24" s="5">
        <f>$B$7+($B$6-$B$7)*2/5</f>
        <v/>
      </c>
      <c r="D24" s="5">
        <f>$B$7+($B$6-$B$7)*3/5</f>
        <v/>
      </c>
      <c r="E24" s="5">
        <f>$B$7+($B$6-$B$7)*4/5</f>
        <v/>
      </c>
      <c r="F24" s="5">
        <f>$B$7+($B$6-$B$7)*5/5</f>
        <v/>
      </c>
    </row>
    <row r="25">
      <c r="A25" s="4" t="inlineStr">
        <is>
          <t>Projected revenue</t>
        </is>
      </c>
      <c r="B25" s="6">
        <f>F12*(1+B24)</f>
        <v/>
      </c>
      <c r="C25" s="6">
        <f>B25*(1+C24)</f>
        <v/>
      </c>
      <c r="D25" s="6">
        <f>C25*(1+D24)</f>
        <v/>
      </c>
      <c r="E25" s="6">
        <f>D25*(1+E24)</f>
        <v/>
      </c>
      <c r="F25" s="6">
        <f>E25*(1+F24)</f>
        <v/>
      </c>
    </row>
    <row r="26">
      <c r="A26" s="4" t="inlineStr">
        <is>
          <t>FCF margin (assumption, held flat)</t>
        </is>
      </c>
      <c r="B26" s="5">
        <f>$B$8</f>
        <v/>
      </c>
      <c r="C26" s="5">
        <f>$B$8</f>
        <v/>
      </c>
      <c r="D26" s="5">
        <f>$B$8</f>
        <v/>
      </c>
      <c r="E26" s="5">
        <f>$B$8</f>
        <v/>
      </c>
      <c r="F26" s="5">
        <f>$B$8</f>
        <v/>
      </c>
    </row>
    <row r="27">
      <c r="A27" s="4" t="inlineStr">
        <is>
          <t>Projected unlevered FCF</t>
        </is>
      </c>
      <c r="B27" s="6">
        <f>B25*B26</f>
        <v/>
      </c>
      <c r="C27" s="6">
        <f>C25*C26</f>
        <v/>
      </c>
      <c r="D27" s="6">
        <f>D25*D26</f>
        <v/>
      </c>
      <c r="E27" s="6">
        <f>E25*E26</f>
        <v/>
      </c>
      <c r="F27" s="6">
        <f>F25*F26</f>
        <v/>
      </c>
    </row>
    <row r="28">
      <c r="A28" s="4" t="inlineStr">
        <is>
          <t>Discount factor</t>
        </is>
      </c>
      <c r="B28" s="15">
        <f>1/(1+$B$5)^1</f>
        <v/>
      </c>
      <c r="C28" s="15">
        <f>1/(1+$B$5)^2</f>
        <v/>
      </c>
      <c r="D28" s="15">
        <f>1/(1+$B$5)^3</f>
        <v/>
      </c>
      <c r="E28" s="15">
        <f>1/(1+$B$5)^4</f>
        <v/>
      </c>
      <c r="F28" s="15">
        <f>1/(1+$B$5)^5</f>
        <v/>
      </c>
    </row>
    <row r="29">
      <c r="A29" s="4" t="inlineStr">
        <is>
          <t>PV of FCF</t>
        </is>
      </c>
      <c r="B29" s="6">
        <f>B27*B28</f>
        <v/>
      </c>
      <c r="C29" s="6">
        <f>C27*C28</f>
        <v/>
      </c>
      <c r="D29" s="6">
        <f>D27*D28</f>
        <v/>
      </c>
      <c r="E29" s="6">
        <f>E27*E28</f>
        <v/>
      </c>
      <c r="F29" s="6">
        <f>F27*F28</f>
        <v/>
      </c>
    </row>
    <row r="31">
      <c r="A31" s="3" t="inlineStr">
        <is>
          <t>Terminal Value &amp; Valuation</t>
        </is>
      </c>
      <c r="B31" s="12" t="n"/>
      <c r="C31" s="12" t="n"/>
      <c r="D31" s="12" t="n"/>
      <c r="E31" s="12" t="n"/>
      <c r="F31" s="12" t="n"/>
      <c r="G31" s="12" t="n"/>
    </row>
    <row r="32">
      <c r="A32" s="4" t="inlineStr">
        <is>
          <t>Terminal value (end of FY2031)</t>
        </is>
      </c>
      <c r="B32" s="6">
        <f>F27*(1+$B$6)/($B$5-$B$6)</f>
        <v/>
      </c>
    </row>
    <row r="33">
      <c r="A33" s="4" t="inlineStr">
        <is>
          <t>PV of terminal value</t>
        </is>
      </c>
      <c r="B33" s="6">
        <f>B32*F28</f>
        <v/>
      </c>
    </row>
    <row r="34">
      <c r="A34" s="4" t="inlineStr">
        <is>
          <t>Sum of PV of projected FCFs</t>
        </is>
      </c>
      <c r="B34" s="6">
        <f>SUM(B29:F29)</f>
        <v/>
      </c>
    </row>
    <row r="35">
      <c r="A35" s="4" t="inlineStr">
        <is>
          <t>Enterprise value</t>
        </is>
      </c>
      <c r="B35" s="16">
        <f>B33+B34</f>
        <v/>
      </c>
    </row>
    <row r="36">
      <c r="A36" s="4" t="inlineStr">
        <is>
          <t>Less: total debt</t>
        </is>
      </c>
      <c r="B36" s="6">
        <f>-B19</f>
        <v/>
      </c>
    </row>
    <row r="37">
      <c r="A37" s="4" t="inlineStr">
        <is>
          <t>Plus: cash &amp; equivalents</t>
        </is>
      </c>
      <c r="B37" s="6">
        <f>B18</f>
        <v/>
      </c>
    </row>
    <row r="38">
      <c r="A38" s="4" t="inlineStr">
        <is>
          <t>Equity value</t>
        </is>
      </c>
      <c r="B38" s="16">
        <f>B35+B36+B37</f>
        <v/>
      </c>
    </row>
    <row r="39">
      <c r="A39" s="4" t="inlineStr">
        <is>
          <t>Diluted shares outstanding (millions)</t>
        </is>
      </c>
      <c r="B39" s="6">
        <f>B20</f>
        <v/>
      </c>
    </row>
    <row r="40">
      <c r="A40" s="4" t="inlineStr">
        <is>
          <t>Implied value per share</t>
        </is>
      </c>
      <c r="B40" s="7">
        <f>B38/B39</f>
        <v/>
      </c>
    </row>
    <row r="42">
      <c r="A42" s="3" t="inlineStr">
        <is>
          <t>Sensitivity: Implied Value/Share (WACC x Terminal Growth)</t>
        </is>
      </c>
      <c r="B42" s="12" t="n"/>
      <c r="C42" s="12" t="n"/>
      <c r="D42" s="12" t="n"/>
      <c r="E42" s="12" t="n"/>
      <c r="F42" s="12" t="n"/>
      <c r="G42" s="12" t="n"/>
    </row>
    <row r="43">
      <c r="B43" s="17" t="inlineStr">
        <is>
          <t>WACC \ Term. g</t>
        </is>
      </c>
      <c r="C43" s="18" t="n">
        <v>0.02</v>
      </c>
      <c r="D43" s="18" t="n">
        <v>0.025</v>
      </c>
      <c r="E43" s="18" t="n">
        <v>0.03</v>
      </c>
      <c r="F43" s="18" t="n">
        <v>0.035</v>
      </c>
      <c r="G43" s="18" t="n">
        <v>0.04</v>
      </c>
    </row>
    <row r="44">
      <c r="B44" s="19" t="n">
        <v>0.08</v>
      </c>
      <c r="C44" s="20">
        <f>((((($F$12*(1+($B$7+(C$43-$B$7)*1/5)))*$B$8)/(1+$B$44)^1)+((($F$12*(1+($B$7+(C$43-$B$7)*1/5))*(1+($B$7+(C$43-$B$7)*2/5)))*$B$8)/(1+$B$44)^2)+((($F$12*(1+($B$7+(C$43-$B$7)*1/5))*(1+($B$7+(C$43-$B$7)*2/5))*(1+($B$7+(C$43-$B$7)*3/5)))*$B$8)/(1+$B$44)^3)+((($F$12*(1+($B$7+(C$43-$B$7)*1/5))*(1+($B$7+(C$43-$B$7)*2/5))*(1+($B$7+(C$43-$B$7)*3/5))*(1+($B$7+(C$43-$B$7)*4/5)))*$B$8)/(1+$B$44)^4)+((($F$12*(1+($B$7+(C$43-$B$7)*1/5))*(1+($B$7+(C$43-$B$7)*2/5))*(1+($B$7+(C$43-$B$7)*3/5))*(1+($B$7+(C$43-$B$7)*4/5))*(1+($B$7+(C$43-$B$7)*5/5)))*$B$8)/(1+$B$44)^5)+((((($F$12*(1+($B$7+(C$43-$B$7)*1/5))*(1+($B$7+(C$43-$B$7)*2/5))*(1+($B$7+(C$43-$B$7)*3/5))*(1+($B$7+(C$43-$B$7)*4/5))*(1+($B$7+(C$43-$B$7)*5/5)))*$B$8)*(1+C$43))/($B$44-C$43))/(1+$B$44)^5))-$B$19+$B$18)/$B$20</f>
        <v/>
      </c>
      <c r="D44" s="20">
        <f>((((($F$12*(1+($B$7+(D$43-$B$7)*1/5)))*$B$8)/(1+$B$44)^1)+((($F$12*(1+($B$7+(D$43-$B$7)*1/5))*(1+($B$7+(D$43-$B$7)*2/5)))*$B$8)/(1+$B$44)^2)+((($F$12*(1+($B$7+(D$43-$B$7)*1/5))*(1+($B$7+(D$43-$B$7)*2/5))*(1+($B$7+(D$43-$B$7)*3/5)))*$B$8)/(1+$B$44)^3)+((($F$12*(1+($B$7+(D$43-$B$7)*1/5))*(1+($B$7+(D$43-$B$7)*2/5))*(1+($B$7+(D$43-$B$7)*3/5))*(1+($B$7+(D$43-$B$7)*4/5)))*$B$8)/(1+$B$44)^4)+((($F$12*(1+($B$7+(D$43-$B$7)*1/5))*(1+($B$7+(D$43-$B$7)*2/5))*(1+($B$7+(D$43-$B$7)*3/5))*(1+($B$7+(D$43-$B$7)*4/5))*(1+($B$7+(D$43-$B$7)*5/5)))*$B$8)/(1+$B$44)^5)+((((($F$12*(1+($B$7+(D$43-$B$7)*1/5))*(1+($B$7+(D$43-$B$7)*2/5))*(1+($B$7+(D$43-$B$7)*3/5))*(1+($B$7+(D$43-$B$7)*4/5))*(1+($B$7+(D$43-$B$7)*5/5)))*$B$8)*(1+D$43))/($B$44-D$43))/(1+$B$44)^5))-$B$19+$B$18)/$B$20</f>
        <v/>
      </c>
      <c r="E44" s="20">
        <f>((((($F$12*(1+($B$7+(E$43-$B$7)*1/5)))*$B$8)/(1+$B$44)^1)+((($F$12*(1+($B$7+(E$43-$B$7)*1/5))*(1+($B$7+(E$43-$B$7)*2/5)))*$B$8)/(1+$B$44)^2)+((($F$12*(1+($B$7+(E$43-$B$7)*1/5))*(1+($B$7+(E$43-$B$7)*2/5))*(1+($B$7+(E$43-$B$7)*3/5)))*$B$8)/(1+$B$44)^3)+((($F$12*(1+($B$7+(E$43-$B$7)*1/5))*(1+($B$7+(E$43-$B$7)*2/5))*(1+($B$7+(E$43-$B$7)*3/5))*(1+($B$7+(E$43-$B$7)*4/5)))*$B$8)/(1+$B$44)^4)+((($F$12*(1+($B$7+(E$43-$B$7)*1/5))*(1+($B$7+(E$43-$B$7)*2/5))*(1+($B$7+(E$43-$B$7)*3/5))*(1+($B$7+(E$43-$B$7)*4/5))*(1+($B$7+(E$43-$B$7)*5/5)))*$B$8)/(1+$B$44)^5)+((((($F$12*(1+($B$7+(E$43-$B$7)*1/5))*(1+($B$7+(E$43-$B$7)*2/5))*(1+($B$7+(E$43-$B$7)*3/5))*(1+($B$7+(E$43-$B$7)*4/5))*(1+($B$7+(E$43-$B$7)*5/5)))*$B$8)*(1+E$43))/($B$44-E$43))/(1+$B$44)^5))-$B$19+$B$18)/$B$20</f>
        <v/>
      </c>
      <c r="F44" s="20">
        <f>((((($F$12*(1+($B$7+(F$43-$B$7)*1/5)))*$B$8)/(1+$B$44)^1)+((($F$12*(1+($B$7+(F$43-$B$7)*1/5))*(1+($B$7+(F$43-$B$7)*2/5)))*$B$8)/(1+$B$44)^2)+((($F$12*(1+($B$7+(F$43-$B$7)*1/5))*(1+($B$7+(F$43-$B$7)*2/5))*(1+($B$7+(F$43-$B$7)*3/5)))*$B$8)/(1+$B$44)^3)+((($F$12*(1+($B$7+(F$43-$B$7)*1/5))*(1+($B$7+(F$43-$B$7)*2/5))*(1+($B$7+(F$43-$B$7)*3/5))*(1+($B$7+(F$43-$B$7)*4/5)))*$B$8)/(1+$B$44)^4)+((($F$12*(1+($B$7+(F$43-$B$7)*1/5))*(1+($B$7+(F$43-$B$7)*2/5))*(1+($B$7+(F$43-$B$7)*3/5))*(1+($B$7+(F$43-$B$7)*4/5))*(1+($B$7+(F$43-$B$7)*5/5)))*$B$8)/(1+$B$44)^5)+((((($F$12*(1+($B$7+(F$43-$B$7)*1/5))*(1+($B$7+(F$43-$B$7)*2/5))*(1+($B$7+(F$43-$B$7)*3/5))*(1+($B$7+(F$43-$B$7)*4/5))*(1+($B$7+(F$43-$B$7)*5/5)))*$B$8)*(1+F$43))/($B$44-F$43))/(1+$B$44)^5))-$B$19+$B$18)/$B$20</f>
        <v/>
      </c>
      <c r="G44" s="20">
        <f>((((($F$12*(1+($B$7+(G$43-$B$7)*1/5)))*$B$8)/(1+$B$44)^1)+((($F$12*(1+($B$7+(G$43-$B$7)*1/5))*(1+($B$7+(G$43-$B$7)*2/5)))*$B$8)/(1+$B$44)^2)+((($F$12*(1+($B$7+(G$43-$B$7)*1/5))*(1+($B$7+(G$43-$B$7)*2/5))*(1+($B$7+(G$43-$B$7)*3/5)))*$B$8)/(1+$B$44)^3)+((($F$12*(1+($B$7+(G$43-$B$7)*1/5))*(1+($B$7+(G$43-$B$7)*2/5))*(1+($B$7+(G$43-$B$7)*3/5))*(1+($B$7+(G$43-$B$7)*4/5)))*$B$8)/(1+$B$44)^4)+((($F$12*(1+($B$7+(G$43-$B$7)*1/5))*(1+($B$7+(G$43-$B$7)*2/5))*(1+($B$7+(G$43-$B$7)*3/5))*(1+($B$7+(G$43-$B$7)*4/5))*(1+($B$7+(G$43-$B$7)*5/5)))*$B$8)/(1+$B$44)^5)+((((($F$12*(1+($B$7+(G$43-$B$7)*1/5))*(1+($B$7+(G$43-$B$7)*2/5))*(1+($B$7+(G$43-$B$7)*3/5))*(1+($B$7+(G$43-$B$7)*4/5))*(1+($B$7+(G$43-$B$7)*5/5)))*$B$8)*(1+G$43))/($B$44-G$43))/(1+$B$44)^5))-$B$19+$B$18)/$B$20</f>
        <v/>
      </c>
    </row>
    <row r="45">
      <c r="B45" s="19" t="n">
        <v>0.09</v>
      </c>
      <c r="C45" s="20">
        <f>((((($F$12*(1+($B$7+(C$43-$B$7)*1/5)))*$B$8)/(1+$B$45)^1)+((($F$12*(1+($B$7+(C$43-$B$7)*1/5))*(1+($B$7+(C$43-$B$7)*2/5)))*$B$8)/(1+$B$45)^2)+((($F$12*(1+($B$7+(C$43-$B$7)*1/5))*(1+($B$7+(C$43-$B$7)*2/5))*(1+($B$7+(C$43-$B$7)*3/5)))*$B$8)/(1+$B$45)^3)+((($F$12*(1+($B$7+(C$43-$B$7)*1/5))*(1+($B$7+(C$43-$B$7)*2/5))*(1+($B$7+(C$43-$B$7)*3/5))*(1+($B$7+(C$43-$B$7)*4/5)))*$B$8)/(1+$B$45)^4)+((($F$12*(1+($B$7+(C$43-$B$7)*1/5))*(1+($B$7+(C$43-$B$7)*2/5))*(1+($B$7+(C$43-$B$7)*3/5))*(1+($B$7+(C$43-$B$7)*4/5))*(1+($B$7+(C$43-$B$7)*5/5)))*$B$8)/(1+$B$45)^5)+((((($F$12*(1+($B$7+(C$43-$B$7)*1/5))*(1+($B$7+(C$43-$B$7)*2/5))*(1+($B$7+(C$43-$B$7)*3/5))*(1+($B$7+(C$43-$B$7)*4/5))*(1+($B$7+(C$43-$B$7)*5/5)))*$B$8)*(1+C$43))/($B$45-C$43))/(1+$B$45)^5))-$B$19+$B$18)/$B$20</f>
        <v/>
      </c>
      <c r="D45" s="20">
        <f>((((($F$12*(1+($B$7+(D$43-$B$7)*1/5)))*$B$8)/(1+$B$45)^1)+((($F$12*(1+($B$7+(D$43-$B$7)*1/5))*(1+($B$7+(D$43-$B$7)*2/5)))*$B$8)/(1+$B$45)^2)+((($F$12*(1+($B$7+(D$43-$B$7)*1/5))*(1+($B$7+(D$43-$B$7)*2/5))*(1+($B$7+(D$43-$B$7)*3/5)))*$B$8)/(1+$B$45)^3)+((($F$12*(1+($B$7+(D$43-$B$7)*1/5))*(1+($B$7+(D$43-$B$7)*2/5))*(1+($B$7+(D$43-$B$7)*3/5))*(1+($B$7+(D$43-$B$7)*4/5)))*$B$8)/(1+$B$45)^4)+((($F$12*(1+($B$7+(D$43-$B$7)*1/5))*(1+($B$7+(D$43-$B$7)*2/5))*(1+($B$7+(D$43-$B$7)*3/5))*(1+($B$7+(D$43-$B$7)*4/5))*(1+($B$7+(D$43-$B$7)*5/5)))*$B$8)/(1+$B$45)^5)+((((($F$12*(1+($B$7+(D$43-$B$7)*1/5))*(1+($B$7+(D$43-$B$7)*2/5))*(1+($B$7+(D$43-$B$7)*3/5))*(1+($B$7+(D$43-$B$7)*4/5))*(1+($B$7+(D$43-$B$7)*5/5)))*$B$8)*(1+D$43))/($B$45-D$43))/(1+$B$45)^5))-$B$19+$B$18)/$B$20</f>
        <v/>
      </c>
      <c r="E45" s="20">
        <f>((((($F$12*(1+($B$7+(E$43-$B$7)*1/5)))*$B$8)/(1+$B$45)^1)+((($F$12*(1+($B$7+(E$43-$B$7)*1/5))*(1+($B$7+(E$43-$B$7)*2/5)))*$B$8)/(1+$B$45)^2)+((($F$12*(1+($B$7+(E$43-$B$7)*1/5))*(1+($B$7+(E$43-$B$7)*2/5))*(1+($B$7+(E$43-$B$7)*3/5)))*$B$8)/(1+$B$45)^3)+((($F$12*(1+($B$7+(E$43-$B$7)*1/5))*(1+($B$7+(E$43-$B$7)*2/5))*(1+($B$7+(E$43-$B$7)*3/5))*(1+($B$7+(E$43-$B$7)*4/5)))*$B$8)/(1+$B$45)^4)+((($F$12*(1+($B$7+(E$43-$B$7)*1/5))*(1+($B$7+(E$43-$B$7)*2/5))*(1+($B$7+(E$43-$B$7)*3/5))*(1+($B$7+(E$43-$B$7)*4/5))*(1+($B$7+(E$43-$B$7)*5/5)))*$B$8)/(1+$B$45)^5)+((((($F$12*(1+($B$7+(E$43-$B$7)*1/5))*(1+($B$7+(E$43-$B$7)*2/5))*(1+($B$7+(E$43-$B$7)*3/5))*(1+($B$7+(E$43-$B$7)*4/5))*(1+($B$7+(E$43-$B$7)*5/5)))*$B$8)*(1+E$43))/($B$45-E$43))/(1+$B$45)^5))-$B$19+$B$18)/$B$20</f>
        <v/>
      </c>
      <c r="F45" s="20">
        <f>((((($F$12*(1+($B$7+(F$43-$B$7)*1/5)))*$B$8)/(1+$B$45)^1)+((($F$12*(1+($B$7+(F$43-$B$7)*1/5))*(1+($B$7+(F$43-$B$7)*2/5)))*$B$8)/(1+$B$45)^2)+((($F$12*(1+($B$7+(F$43-$B$7)*1/5))*(1+($B$7+(F$43-$B$7)*2/5))*(1+($B$7+(F$43-$B$7)*3/5)))*$B$8)/(1+$B$45)^3)+((($F$12*(1+($B$7+(F$43-$B$7)*1/5))*(1+($B$7+(F$43-$B$7)*2/5))*(1+($B$7+(F$43-$B$7)*3/5))*(1+($B$7+(F$43-$B$7)*4/5)))*$B$8)/(1+$B$45)^4)+((($F$12*(1+($B$7+(F$43-$B$7)*1/5))*(1+($B$7+(F$43-$B$7)*2/5))*(1+($B$7+(F$43-$B$7)*3/5))*(1+($B$7+(F$43-$B$7)*4/5))*(1+($B$7+(F$43-$B$7)*5/5)))*$B$8)/(1+$B$45)^5)+((((($F$12*(1+($B$7+(F$43-$B$7)*1/5))*(1+($B$7+(F$43-$B$7)*2/5))*(1+($B$7+(F$43-$B$7)*3/5))*(1+($B$7+(F$43-$B$7)*4/5))*(1+($B$7+(F$43-$B$7)*5/5)))*$B$8)*(1+F$43))/($B$45-F$43))/(1+$B$45)^5))-$B$19+$B$18)/$B$20</f>
        <v/>
      </c>
      <c r="G45" s="20">
        <f>((((($F$12*(1+($B$7+(G$43-$B$7)*1/5)))*$B$8)/(1+$B$45)^1)+((($F$12*(1+($B$7+(G$43-$B$7)*1/5))*(1+($B$7+(G$43-$B$7)*2/5)))*$B$8)/(1+$B$45)^2)+((($F$12*(1+($B$7+(G$43-$B$7)*1/5))*(1+($B$7+(G$43-$B$7)*2/5))*(1+($B$7+(G$43-$B$7)*3/5)))*$B$8)/(1+$B$45)^3)+((($F$12*(1+($B$7+(G$43-$B$7)*1/5))*(1+($B$7+(G$43-$B$7)*2/5))*(1+($B$7+(G$43-$B$7)*3/5))*(1+($B$7+(G$43-$B$7)*4/5)))*$B$8)/(1+$B$45)^4)+((($F$12*(1+($B$7+(G$43-$B$7)*1/5))*(1+($B$7+(G$43-$B$7)*2/5))*(1+($B$7+(G$43-$B$7)*3/5))*(1+($B$7+(G$43-$B$7)*4/5))*(1+($B$7+(G$43-$B$7)*5/5)))*$B$8)/(1+$B$45)^5)+((((($F$12*(1+($B$7+(G$43-$B$7)*1/5))*(1+($B$7+(G$43-$B$7)*2/5))*(1+($B$7+(G$43-$B$7)*3/5))*(1+($B$7+(G$43-$B$7)*4/5))*(1+($B$7+(G$43-$B$7)*5/5)))*$B$8)*(1+G$43))/($B$45-G$43))/(1+$B$45)^5))-$B$19+$B$18)/$B$20</f>
        <v/>
      </c>
    </row>
    <row r="46">
      <c r="B46" s="19" t="n">
        <v>0.1</v>
      </c>
      <c r="C46" s="20">
        <f>((((($F$12*(1+($B$7+(C$43-$B$7)*1/5)))*$B$8)/(1+$B$46)^1)+((($F$12*(1+($B$7+(C$43-$B$7)*1/5))*(1+($B$7+(C$43-$B$7)*2/5)))*$B$8)/(1+$B$46)^2)+((($F$12*(1+($B$7+(C$43-$B$7)*1/5))*(1+($B$7+(C$43-$B$7)*2/5))*(1+($B$7+(C$43-$B$7)*3/5)))*$B$8)/(1+$B$46)^3)+((($F$12*(1+($B$7+(C$43-$B$7)*1/5))*(1+($B$7+(C$43-$B$7)*2/5))*(1+($B$7+(C$43-$B$7)*3/5))*(1+($B$7+(C$43-$B$7)*4/5)))*$B$8)/(1+$B$46)^4)+((($F$12*(1+($B$7+(C$43-$B$7)*1/5))*(1+($B$7+(C$43-$B$7)*2/5))*(1+($B$7+(C$43-$B$7)*3/5))*(1+($B$7+(C$43-$B$7)*4/5))*(1+($B$7+(C$43-$B$7)*5/5)))*$B$8)/(1+$B$46)^5)+((((($F$12*(1+($B$7+(C$43-$B$7)*1/5))*(1+($B$7+(C$43-$B$7)*2/5))*(1+($B$7+(C$43-$B$7)*3/5))*(1+($B$7+(C$43-$B$7)*4/5))*(1+($B$7+(C$43-$B$7)*5/5)))*$B$8)*(1+C$43))/($B$46-C$43))/(1+$B$46)^5))-$B$19+$B$18)/$B$20</f>
        <v/>
      </c>
      <c r="D46" s="20">
        <f>((((($F$12*(1+($B$7+(D$43-$B$7)*1/5)))*$B$8)/(1+$B$46)^1)+((($F$12*(1+($B$7+(D$43-$B$7)*1/5))*(1+($B$7+(D$43-$B$7)*2/5)))*$B$8)/(1+$B$46)^2)+((($F$12*(1+($B$7+(D$43-$B$7)*1/5))*(1+($B$7+(D$43-$B$7)*2/5))*(1+($B$7+(D$43-$B$7)*3/5)))*$B$8)/(1+$B$46)^3)+((($F$12*(1+($B$7+(D$43-$B$7)*1/5))*(1+($B$7+(D$43-$B$7)*2/5))*(1+($B$7+(D$43-$B$7)*3/5))*(1+($B$7+(D$43-$B$7)*4/5)))*$B$8)/(1+$B$46)^4)+((($F$12*(1+($B$7+(D$43-$B$7)*1/5))*(1+($B$7+(D$43-$B$7)*2/5))*(1+($B$7+(D$43-$B$7)*3/5))*(1+($B$7+(D$43-$B$7)*4/5))*(1+($B$7+(D$43-$B$7)*5/5)))*$B$8)/(1+$B$46)^5)+((((($F$12*(1+($B$7+(D$43-$B$7)*1/5))*(1+($B$7+(D$43-$B$7)*2/5))*(1+($B$7+(D$43-$B$7)*3/5))*(1+($B$7+(D$43-$B$7)*4/5))*(1+($B$7+(D$43-$B$7)*5/5)))*$B$8)*(1+D$43))/($B$46-D$43))/(1+$B$46)^5))-$B$19+$B$18)/$B$20</f>
        <v/>
      </c>
      <c r="E46" s="20">
        <f>((((($F$12*(1+($B$7+(E$43-$B$7)*1/5)))*$B$8)/(1+$B$46)^1)+((($F$12*(1+($B$7+(E$43-$B$7)*1/5))*(1+($B$7+(E$43-$B$7)*2/5)))*$B$8)/(1+$B$46)^2)+((($F$12*(1+($B$7+(E$43-$B$7)*1/5))*(1+($B$7+(E$43-$B$7)*2/5))*(1+($B$7+(E$43-$B$7)*3/5)))*$B$8)/(1+$B$46)^3)+((($F$12*(1+($B$7+(E$43-$B$7)*1/5))*(1+($B$7+(E$43-$B$7)*2/5))*(1+($B$7+(E$43-$B$7)*3/5))*(1+($B$7+(E$43-$B$7)*4/5)))*$B$8)/(1+$B$46)^4)+((($F$12*(1+($B$7+(E$43-$B$7)*1/5))*(1+($B$7+(E$43-$B$7)*2/5))*(1+($B$7+(E$43-$B$7)*3/5))*(1+($B$7+(E$43-$B$7)*4/5))*(1+($B$7+(E$43-$B$7)*5/5)))*$B$8)/(1+$B$46)^5)+((((($F$12*(1+($B$7+(E$43-$B$7)*1/5))*(1+($B$7+(E$43-$B$7)*2/5))*(1+($B$7+(E$43-$B$7)*3/5))*(1+($B$7+(E$43-$B$7)*4/5))*(1+($B$7+(E$43-$B$7)*5/5)))*$B$8)*(1+E$43))/($B$46-E$43))/(1+$B$46)^5))-$B$19+$B$18)/$B$20</f>
        <v/>
      </c>
      <c r="F46" s="20">
        <f>((((($F$12*(1+($B$7+(F$43-$B$7)*1/5)))*$B$8)/(1+$B$46)^1)+((($F$12*(1+($B$7+(F$43-$B$7)*1/5))*(1+($B$7+(F$43-$B$7)*2/5)))*$B$8)/(1+$B$46)^2)+((($F$12*(1+($B$7+(F$43-$B$7)*1/5))*(1+($B$7+(F$43-$B$7)*2/5))*(1+($B$7+(F$43-$B$7)*3/5)))*$B$8)/(1+$B$46)^3)+((($F$12*(1+($B$7+(F$43-$B$7)*1/5))*(1+($B$7+(F$43-$B$7)*2/5))*(1+($B$7+(F$43-$B$7)*3/5))*(1+($B$7+(F$43-$B$7)*4/5)))*$B$8)/(1+$B$46)^4)+((($F$12*(1+($B$7+(F$43-$B$7)*1/5))*(1+($B$7+(F$43-$B$7)*2/5))*(1+($B$7+(F$43-$B$7)*3/5))*(1+($B$7+(F$43-$B$7)*4/5))*(1+($B$7+(F$43-$B$7)*5/5)))*$B$8)/(1+$B$46)^5)+((((($F$12*(1+($B$7+(F$43-$B$7)*1/5))*(1+($B$7+(F$43-$B$7)*2/5))*(1+($B$7+(F$43-$B$7)*3/5))*(1+($B$7+(F$43-$B$7)*4/5))*(1+($B$7+(F$43-$B$7)*5/5)))*$B$8)*(1+F$43))/($B$46-F$43))/(1+$B$46)^5))-$B$19+$B$18)/$B$20</f>
        <v/>
      </c>
      <c r="G46" s="20">
        <f>((((($F$12*(1+($B$7+(G$43-$B$7)*1/5)))*$B$8)/(1+$B$46)^1)+((($F$12*(1+($B$7+(G$43-$B$7)*1/5))*(1+($B$7+(G$43-$B$7)*2/5)))*$B$8)/(1+$B$46)^2)+((($F$12*(1+($B$7+(G$43-$B$7)*1/5))*(1+($B$7+(G$43-$B$7)*2/5))*(1+($B$7+(G$43-$B$7)*3/5)))*$B$8)/(1+$B$46)^3)+((($F$12*(1+($B$7+(G$43-$B$7)*1/5))*(1+($B$7+(G$43-$B$7)*2/5))*(1+($B$7+(G$43-$B$7)*3/5))*(1+($B$7+(G$43-$B$7)*4/5)))*$B$8)/(1+$B$46)^4)+((($F$12*(1+($B$7+(G$43-$B$7)*1/5))*(1+($B$7+(G$43-$B$7)*2/5))*(1+($B$7+(G$43-$B$7)*3/5))*(1+($B$7+(G$43-$B$7)*4/5))*(1+($B$7+(G$43-$B$7)*5/5)))*$B$8)/(1+$B$46)^5)+((((($F$12*(1+($B$7+(G$43-$B$7)*1/5))*(1+($B$7+(G$43-$B$7)*2/5))*(1+($B$7+(G$43-$B$7)*3/5))*(1+($B$7+(G$43-$B$7)*4/5))*(1+($B$7+(G$43-$B$7)*5/5)))*$B$8)*(1+G$43))/($B$46-G$43))/(1+$B$46)^5))-$B$19+$B$18)/$B$20</f>
        <v/>
      </c>
    </row>
    <row r="47">
      <c r="B47" s="19" t="n">
        <v>0.11</v>
      </c>
      <c r="C47" s="20">
        <f>((((($F$12*(1+($B$7+(C$43-$B$7)*1/5)))*$B$8)/(1+$B$47)^1)+((($F$12*(1+($B$7+(C$43-$B$7)*1/5))*(1+($B$7+(C$43-$B$7)*2/5)))*$B$8)/(1+$B$47)^2)+((($F$12*(1+($B$7+(C$43-$B$7)*1/5))*(1+($B$7+(C$43-$B$7)*2/5))*(1+($B$7+(C$43-$B$7)*3/5)))*$B$8)/(1+$B$47)^3)+((($F$12*(1+($B$7+(C$43-$B$7)*1/5))*(1+($B$7+(C$43-$B$7)*2/5))*(1+($B$7+(C$43-$B$7)*3/5))*(1+($B$7+(C$43-$B$7)*4/5)))*$B$8)/(1+$B$47)^4)+((($F$12*(1+($B$7+(C$43-$B$7)*1/5))*(1+($B$7+(C$43-$B$7)*2/5))*(1+($B$7+(C$43-$B$7)*3/5))*(1+($B$7+(C$43-$B$7)*4/5))*(1+($B$7+(C$43-$B$7)*5/5)))*$B$8)/(1+$B$47)^5)+((((($F$12*(1+($B$7+(C$43-$B$7)*1/5))*(1+($B$7+(C$43-$B$7)*2/5))*(1+($B$7+(C$43-$B$7)*3/5))*(1+($B$7+(C$43-$B$7)*4/5))*(1+($B$7+(C$43-$B$7)*5/5)))*$B$8)*(1+C$43))/($B$47-C$43))/(1+$B$47)^5))-$B$19+$B$18)/$B$20</f>
        <v/>
      </c>
      <c r="D47" s="20">
        <f>((((($F$12*(1+($B$7+(D$43-$B$7)*1/5)))*$B$8)/(1+$B$47)^1)+((($F$12*(1+($B$7+(D$43-$B$7)*1/5))*(1+($B$7+(D$43-$B$7)*2/5)))*$B$8)/(1+$B$47)^2)+((($F$12*(1+($B$7+(D$43-$B$7)*1/5))*(1+($B$7+(D$43-$B$7)*2/5))*(1+($B$7+(D$43-$B$7)*3/5)))*$B$8)/(1+$B$47)^3)+((($F$12*(1+($B$7+(D$43-$B$7)*1/5))*(1+($B$7+(D$43-$B$7)*2/5))*(1+($B$7+(D$43-$B$7)*3/5))*(1+($B$7+(D$43-$B$7)*4/5)))*$B$8)/(1+$B$47)^4)+((($F$12*(1+($B$7+(D$43-$B$7)*1/5))*(1+($B$7+(D$43-$B$7)*2/5))*(1+($B$7+(D$43-$B$7)*3/5))*(1+($B$7+(D$43-$B$7)*4/5))*(1+($B$7+(D$43-$B$7)*5/5)))*$B$8)/(1+$B$47)^5)+((((($F$12*(1+($B$7+(D$43-$B$7)*1/5))*(1+($B$7+(D$43-$B$7)*2/5))*(1+($B$7+(D$43-$B$7)*3/5))*(1+($B$7+(D$43-$B$7)*4/5))*(1+($B$7+(D$43-$B$7)*5/5)))*$B$8)*(1+D$43))/($B$47-D$43))/(1+$B$47)^5))-$B$19+$B$18)/$B$20</f>
        <v/>
      </c>
      <c r="E47" s="20">
        <f>((((($F$12*(1+($B$7+(E$43-$B$7)*1/5)))*$B$8)/(1+$B$47)^1)+((($F$12*(1+($B$7+(E$43-$B$7)*1/5))*(1+($B$7+(E$43-$B$7)*2/5)))*$B$8)/(1+$B$47)^2)+((($F$12*(1+($B$7+(E$43-$B$7)*1/5))*(1+($B$7+(E$43-$B$7)*2/5))*(1+($B$7+(E$43-$B$7)*3/5)))*$B$8)/(1+$B$47)^3)+((($F$12*(1+($B$7+(E$43-$B$7)*1/5))*(1+($B$7+(E$43-$B$7)*2/5))*(1+($B$7+(E$43-$B$7)*3/5))*(1+($B$7+(E$43-$B$7)*4/5)))*$B$8)/(1+$B$47)^4)+((($F$12*(1+($B$7+(E$43-$B$7)*1/5))*(1+($B$7+(E$43-$B$7)*2/5))*(1+($B$7+(E$43-$B$7)*3/5))*(1+($B$7+(E$43-$B$7)*4/5))*(1+($B$7+(E$43-$B$7)*5/5)))*$B$8)/(1+$B$47)^5)+((((($F$12*(1+($B$7+(E$43-$B$7)*1/5))*(1+($B$7+(E$43-$B$7)*2/5))*(1+($B$7+(E$43-$B$7)*3/5))*(1+($B$7+(E$43-$B$7)*4/5))*(1+($B$7+(E$43-$B$7)*5/5)))*$B$8)*(1+E$43))/($B$47-E$43))/(1+$B$47)^5))-$B$19+$B$18)/$B$20</f>
        <v/>
      </c>
      <c r="F47" s="20">
        <f>((((($F$12*(1+($B$7+(F$43-$B$7)*1/5)))*$B$8)/(1+$B$47)^1)+((($F$12*(1+($B$7+(F$43-$B$7)*1/5))*(1+($B$7+(F$43-$B$7)*2/5)))*$B$8)/(1+$B$47)^2)+((($F$12*(1+($B$7+(F$43-$B$7)*1/5))*(1+($B$7+(F$43-$B$7)*2/5))*(1+($B$7+(F$43-$B$7)*3/5)))*$B$8)/(1+$B$47)^3)+((($F$12*(1+($B$7+(F$43-$B$7)*1/5))*(1+($B$7+(F$43-$B$7)*2/5))*(1+($B$7+(F$43-$B$7)*3/5))*(1+($B$7+(F$43-$B$7)*4/5)))*$B$8)/(1+$B$47)^4)+((($F$12*(1+($B$7+(F$43-$B$7)*1/5))*(1+($B$7+(F$43-$B$7)*2/5))*(1+($B$7+(F$43-$B$7)*3/5))*(1+($B$7+(F$43-$B$7)*4/5))*(1+($B$7+(F$43-$B$7)*5/5)))*$B$8)/(1+$B$47)^5)+((((($F$12*(1+($B$7+(F$43-$B$7)*1/5))*(1+($B$7+(F$43-$B$7)*2/5))*(1+($B$7+(F$43-$B$7)*3/5))*(1+($B$7+(F$43-$B$7)*4/5))*(1+($B$7+(F$43-$B$7)*5/5)))*$B$8)*(1+F$43))/($B$47-F$43))/(1+$B$47)^5))-$B$19+$B$18)/$B$20</f>
        <v/>
      </c>
      <c r="G47" s="20">
        <f>((((($F$12*(1+($B$7+(G$43-$B$7)*1/5)))*$B$8)/(1+$B$47)^1)+((($F$12*(1+($B$7+(G$43-$B$7)*1/5))*(1+($B$7+(G$43-$B$7)*2/5)))*$B$8)/(1+$B$47)^2)+((($F$12*(1+($B$7+(G$43-$B$7)*1/5))*(1+($B$7+(G$43-$B$7)*2/5))*(1+($B$7+(G$43-$B$7)*3/5)))*$B$8)/(1+$B$47)^3)+((($F$12*(1+($B$7+(G$43-$B$7)*1/5))*(1+($B$7+(G$43-$B$7)*2/5))*(1+($B$7+(G$43-$B$7)*3/5))*(1+($B$7+(G$43-$B$7)*4/5)))*$B$8)/(1+$B$47)^4)+((($F$12*(1+($B$7+(G$43-$B$7)*1/5))*(1+($B$7+(G$43-$B$7)*2/5))*(1+($B$7+(G$43-$B$7)*3/5))*(1+($B$7+(G$43-$B$7)*4/5))*(1+($B$7+(G$43-$B$7)*5/5)))*$B$8)/(1+$B$47)^5)+((((($F$12*(1+($B$7+(G$43-$B$7)*1/5))*(1+($B$7+(G$43-$B$7)*2/5))*(1+($B$7+(G$43-$B$7)*3/5))*(1+($B$7+(G$43-$B$7)*4/5))*(1+($B$7+(G$43-$B$7)*5/5)))*$B$8)*(1+G$43))/($B$47-G$43))/(1+$B$47)^5))-$B$19+$B$18)/$B$20</f>
        <v/>
      </c>
    </row>
    <row r="48">
      <c r="B48" s="19" t="n">
        <v>0.12</v>
      </c>
      <c r="C48" s="20">
        <f>((((($F$12*(1+($B$7+(C$43-$B$7)*1/5)))*$B$8)/(1+$B$48)^1)+((($F$12*(1+($B$7+(C$43-$B$7)*1/5))*(1+($B$7+(C$43-$B$7)*2/5)))*$B$8)/(1+$B$48)^2)+((($F$12*(1+($B$7+(C$43-$B$7)*1/5))*(1+($B$7+(C$43-$B$7)*2/5))*(1+($B$7+(C$43-$B$7)*3/5)))*$B$8)/(1+$B$48)^3)+((($F$12*(1+($B$7+(C$43-$B$7)*1/5))*(1+($B$7+(C$43-$B$7)*2/5))*(1+($B$7+(C$43-$B$7)*3/5))*(1+($B$7+(C$43-$B$7)*4/5)))*$B$8)/(1+$B$48)^4)+((($F$12*(1+($B$7+(C$43-$B$7)*1/5))*(1+($B$7+(C$43-$B$7)*2/5))*(1+($B$7+(C$43-$B$7)*3/5))*(1+($B$7+(C$43-$B$7)*4/5))*(1+($B$7+(C$43-$B$7)*5/5)))*$B$8)/(1+$B$48)^5)+((((($F$12*(1+($B$7+(C$43-$B$7)*1/5))*(1+($B$7+(C$43-$B$7)*2/5))*(1+($B$7+(C$43-$B$7)*3/5))*(1+($B$7+(C$43-$B$7)*4/5))*(1+($B$7+(C$43-$B$7)*5/5)))*$B$8)*(1+C$43))/($B$48-C$43))/(1+$B$48)^5))-$B$19+$B$18)/$B$20</f>
        <v/>
      </c>
      <c r="D48" s="20">
        <f>((((($F$12*(1+($B$7+(D$43-$B$7)*1/5)))*$B$8)/(1+$B$48)^1)+((($F$12*(1+($B$7+(D$43-$B$7)*1/5))*(1+($B$7+(D$43-$B$7)*2/5)))*$B$8)/(1+$B$48)^2)+((($F$12*(1+($B$7+(D$43-$B$7)*1/5))*(1+($B$7+(D$43-$B$7)*2/5))*(1+($B$7+(D$43-$B$7)*3/5)))*$B$8)/(1+$B$48)^3)+((($F$12*(1+($B$7+(D$43-$B$7)*1/5))*(1+($B$7+(D$43-$B$7)*2/5))*(1+($B$7+(D$43-$B$7)*3/5))*(1+($B$7+(D$43-$B$7)*4/5)))*$B$8)/(1+$B$48)^4)+((($F$12*(1+($B$7+(D$43-$B$7)*1/5))*(1+($B$7+(D$43-$B$7)*2/5))*(1+($B$7+(D$43-$B$7)*3/5))*(1+($B$7+(D$43-$B$7)*4/5))*(1+($B$7+(D$43-$B$7)*5/5)))*$B$8)/(1+$B$48)^5)+((((($F$12*(1+($B$7+(D$43-$B$7)*1/5))*(1+($B$7+(D$43-$B$7)*2/5))*(1+($B$7+(D$43-$B$7)*3/5))*(1+($B$7+(D$43-$B$7)*4/5))*(1+($B$7+(D$43-$B$7)*5/5)))*$B$8)*(1+D$43))/($B$48-D$43))/(1+$B$48)^5))-$B$19+$B$18)/$B$20</f>
        <v/>
      </c>
      <c r="E48" s="20">
        <f>((((($F$12*(1+($B$7+(E$43-$B$7)*1/5)))*$B$8)/(1+$B$48)^1)+((($F$12*(1+($B$7+(E$43-$B$7)*1/5))*(1+($B$7+(E$43-$B$7)*2/5)))*$B$8)/(1+$B$48)^2)+((($F$12*(1+($B$7+(E$43-$B$7)*1/5))*(1+($B$7+(E$43-$B$7)*2/5))*(1+($B$7+(E$43-$B$7)*3/5)))*$B$8)/(1+$B$48)^3)+((($F$12*(1+($B$7+(E$43-$B$7)*1/5))*(1+($B$7+(E$43-$B$7)*2/5))*(1+($B$7+(E$43-$B$7)*3/5))*(1+($B$7+(E$43-$B$7)*4/5)))*$B$8)/(1+$B$48)^4)+((($F$12*(1+($B$7+(E$43-$B$7)*1/5))*(1+($B$7+(E$43-$B$7)*2/5))*(1+($B$7+(E$43-$B$7)*3/5))*(1+($B$7+(E$43-$B$7)*4/5))*(1+($B$7+(E$43-$B$7)*5/5)))*$B$8)/(1+$B$48)^5)+((((($F$12*(1+($B$7+(E$43-$B$7)*1/5))*(1+($B$7+(E$43-$B$7)*2/5))*(1+($B$7+(E$43-$B$7)*3/5))*(1+($B$7+(E$43-$B$7)*4/5))*(1+($B$7+(E$43-$B$7)*5/5)))*$B$8)*(1+E$43))/($B$48-E$43))/(1+$B$48)^5))-$B$19+$B$18)/$B$20</f>
        <v/>
      </c>
      <c r="F48" s="20">
        <f>((((($F$12*(1+($B$7+(F$43-$B$7)*1/5)))*$B$8)/(1+$B$48)^1)+((($F$12*(1+($B$7+(F$43-$B$7)*1/5))*(1+($B$7+(F$43-$B$7)*2/5)))*$B$8)/(1+$B$48)^2)+((($F$12*(1+($B$7+(F$43-$B$7)*1/5))*(1+($B$7+(F$43-$B$7)*2/5))*(1+($B$7+(F$43-$B$7)*3/5)))*$B$8)/(1+$B$48)^3)+((($F$12*(1+($B$7+(F$43-$B$7)*1/5))*(1+($B$7+(F$43-$B$7)*2/5))*(1+($B$7+(F$43-$B$7)*3/5))*(1+($B$7+(F$43-$B$7)*4/5)))*$B$8)/(1+$B$48)^4)+((($F$12*(1+($B$7+(F$43-$B$7)*1/5))*(1+($B$7+(F$43-$B$7)*2/5))*(1+($B$7+(F$43-$B$7)*3/5))*(1+($B$7+(F$43-$B$7)*4/5))*(1+($B$7+(F$43-$B$7)*5/5)))*$B$8)/(1+$B$48)^5)+((((($F$12*(1+($B$7+(F$43-$B$7)*1/5))*(1+($B$7+(F$43-$B$7)*2/5))*(1+($B$7+(F$43-$B$7)*3/5))*(1+($B$7+(F$43-$B$7)*4/5))*(1+($B$7+(F$43-$B$7)*5/5)))*$B$8)*(1+F$43))/($B$48-F$43))/(1+$B$48)^5))-$B$19+$B$18)/$B$20</f>
        <v/>
      </c>
      <c r="G48" s="20">
        <f>((((($F$12*(1+($B$7+(G$43-$B$7)*1/5)))*$B$8)/(1+$B$48)^1)+((($F$12*(1+($B$7+(G$43-$B$7)*1/5))*(1+($B$7+(G$43-$B$7)*2/5)))*$B$8)/(1+$B$48)^2)+((($F$12*(1+($B$7+(G$43-$B$7)*1/5))*(1+($B$7+(G$43-$B$7)*2/5))*(1+($B$7+(G$43-$B$7)*3/5)))*$B$8)/(1+$B$48)^3)+((($F$12*(1+($B$7+(G$43-$B$7)*1/5))*(1+($B$7+(G$43-$B$7)*2/5))*(1+($B$7+(G$43-$B$7)*3/5))*(1+($B$7+(G$43-$B$7)*4/5)))*$B$8)/(1+$B$48)^4)+((($F$12*(1+($B$7+(G$43-$B$7)*1/5))*(1+($B$7+(G$43-$B$7)*2/5))*(1+($B$7+(G$43-$B$7)*3/5))*(1+($B$7+(G$43-$B$7)*4/5))*(1+($B$7+(G$43-$B$7)*5/5)))*$B$8)/(1+$B$48)^5)+((((($F$12*(1+($B$7+(G$43-$B$7)*1/5))*(1+($B$7+(G$43-$B$7)*2/5))*(1+($B$7+(G$43-$B$7)*3/5))*(1+($B$7+(G$43-$B$7)*4/5))*(1+($B$7+(G$43-$B$7)*5/5)))*$B$8)*(1+G$43))/($B$48-G$43))/(1+$B$48)^5))-$B$19+$B$18)/$B$20</f>
        <v/>
      </c>
    </row>
    <row r="50">
      <c r="A50" s="3" t="inlineStr">
        <is>
          <t>Tornado Inputs (other variable held at its base case)</t>
        </is>
      </c>
      <c r="B50" s="12" t="n"/>
      <c r="C50" s="12" t="n"/>
      <c r="D50" s="12" t="n"/>
      <c r="E50" s="12" t="n"/>
      <c r="F50" s="12" t="n"/>
      <c r="G50" s="12" t="n"/>
    </row>
    <row r="51">
      <c r="A51" s="17" t="inlineStr">
        <is>
          <t>Factor</t>
        </is>
      </c>
      <c r="B51" s="17" t="inlineStr">
        <is>
          <t>Low</t>
        </is>
      </c>
      <c r="C51" s="17" t="inlineStr">
        <is>
          <t>High</t>
        </is>
      </c>
      <c r="D51" s="17" t="inlineStr">
        <is>
          <t>Base (chart helper)</t>
        </is>
      </c>
      <c r="E51" s="17" t="inlineStr">
        <is>
          <t>Span (chart helper)</t>
        </is>
      </c>
    </row>
    <row r="52">
      <c r="A52" s="4" t="inlineStr">
        <is>
          <t>WACC (8% → 12%)</t>
        </is>
      </c>
      <c r="B52" s="8">
        <f>E44</f>
        <v/>
      </c>
      <c r="C52" s="8">
        <f>E48</f>
        <v/>
      </c>
      <c r="D52" s="8">
        <f>MIN(B52,C52)</f>
        <v/>
      </c>
      <c r="E52" s="8">
        <f>ABS(C52-B52)</f>
        <v/>
      </c>
    </row>
    <row r="53">
      <c r="A53" s="4" t="inlineStr">
        <is>
          <t>Terminal growth (2% → 4%)</t>
        </is>
      </c>
      <c r="B53" s="8">
        <f>C46</f>
        <v/>
      </c>
      <c r="C53" s="8">
        <f>G46</f>
        <v/>
      </c>
      <c r="D53" s="8">
        <f>MIN(B53,C53)</f>
        <v/>
      </c>
      <c r="E53" s="8">
        <f>ABS(C53-B53)</f>
        <v/>
      </c>
    </row>
  </sheetData>
  <conditionalFormatting sqref="C44:G4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HUBS — HubSpot Inc</t>
        </is>
      </c>
    </row>
    <row r="2">
      <c r="A2" s="4" t="inlineStr">
        <is>
          <t>Unlevered DCF | $ in millions except per-share and share count</t>
        </is>
      </c>
    </row>
    <row r="4">
      <c r="A4" s="3" t="inlineStr">
        <is>
          <t>Assumptions (edit the highlighted cells)</t>
        </is>
      </c>
      <c r="B4" s="12" t="n"/>
      <c r="C4" s="12" t="n"/>
      <c r="D4" s="12" t="n"/>
      <c r="E4" s="12" t="n"/>
      <c r="F4" s="12" t="n"/>
      <c r="G4" s="12" t="n"/>
    </row>
    <row r="5">
      <c r="A5" s="4" t="inlineStr">
        <is>
          <t>WACC (discount rate)</t>
        </is>
      </c>
      <c r="B5" s="13" t="n">
        <v>0.1</v>
      </c>
    </row>
    <row r="6">
      <c r="A6" s="4" t="inlineStr">
        <is>
          <t>Terminal growth rate</t>
        </is>
      </c>
      <c r="B6" s="13" t="n">
        <v>0.03</v>
      </c>
    </row>
    <row r="7">
      <c r="A7" s="4" t="inlineStr">
        <is>
          <t>Starting revenue growth rate</t>
        </is>
      </c>
      <c r="B7" s="13" t="n">
        <v>0.1917087560508048</v>
      </c>
      <c r="C7" s="2" t="inlineStr">
        <is>
          <t>default: most recent YoY revenue growth</t>
        </is>
      </c>
    </row>
    <row r="8">
      <c r="A8" s="4" t="inlineStr">
        <is>
          <t>Unlevered FCF margin (% of revenue)</t>
        </is>
      </c>
      <c r="B8" s="13" t="n">
        <v>0.2196708026669476</v>
      </c>
      <c r="C8" s="2" t="inlineStr">
        <is>
          <t>default: avg of last 2 fiscal years' FCF / revenue</t>
        </is>
      </c>
    </row>
    <row r="10">
      <c r="A10" s="3" t="inlineStr">
        <is>
          <t>Historical Trend ($ in millions)</t>
        </is>
      </c>
      <c r="B10" s="12" t="n"/>
      <c r="C10" s="12" t="n"/>
      <c r="D10" s="12" t="n"/>
      <c r="E10" s="12" t="n"/>
      <c r="F10" s="12" t="n"/>
      <c r="G10" s="12" t="n"/>
    </row>
    <row r="11">
      <c r="A11" s="4" t="inlineStr">
        <is>
          <t>Fiscal year</t>
        </is>
      </c>
      <c r="B11" s="14" t="n">
        <v>2021</v>
      </c>
      <c r="C11" s="14" t="n">
        <v>2022</v>
      </c>
      <c r="D11" s="14" t="n">
        <v>2023</v>
      </c>
      <c r="E11" s="14" t="n">
        <v>2024</v>
      </c>
      <c r="F11" s="14" t="n">
        <v>2025</v>
      </c>
    </row>
    <row r="12">
      <c r="A12" s="4" t="inlineStr">
        <is>
          <t>Revenue</t>
        </is>
      </c>
      <c r="B12" s="6" t="n">
        <v>1300.658</v>
      </c>
      <c r="C12" s="6" t="n">
        <v>1730.969</v>
      </c>
      <c r="D12" s="6" t="n">
        <v>2170.23</v>
      </c>
      <c r="E12" s="6" t="n">
        <v>2627.543</v>
      </c>
      <c r="F12" s="6" t="n">
        <v>3131.266</v>
      </c>
    </row>
    <row r="13">
      <c r="A13" s="4" t="inlineStr">
        <is>
          <t>Revenue growth %</t>
        </is>
      </c>
      <c r="C13" s="5">
        <f>C12/B12-1</f>
        <v/>
      </c>
      <c r="D13" s="5">
        <f>D12/C12-1</f>
        <v/>
      </c>
      <c r="E13" s="5">
        <f>E12/D12-1</f>
        <v/>
      </c>
      <c r="F13" s="5">
        <f>F12/E12-1</f>
        <v/>
      </c>
    </row>
    <row r="14">
      <c r="A14" s="4" t="inlineStr">
        <is>
          <t>Free cash flow</t>
        </is>
      </c>
      <c r="B14" s="6" t="n">
        <v>210.002</v>
      </c>
      <c r="C14" s="6" t="n">
        <v>235.748</v>
      </c>
      <c r="D14" s="6" t="n">
        <v>317.253</v>
      </c>
      <c r="E14" s="6" t="n">
        <v>560.66</v>
      </c>
      <c r="F14" s="6" t="n">
        <v>707.552</v>
      </c>
    </row>
    <row r="15">
      <c r="A15" s="4" t="inlineStr">
        <is>
          <t>FCF margin %</t>
        </is>
      </c>
      <c r="B15" s="5">
        <f>B14/B12</f>
        <v/>
      </c>
      <c r="C15" s="5">
        <f>C14/C12</f>
        <v/>
      </c>
      <c r="D15" s="5">
        <f>D14/D12</f>
        <v/>
      </c>
      <c r="E15" s="5">
        <f>E14/E12</f>
        <v/>
      </c>
      <c r="F15" s="5">
        <f>F14/F12</f>
        <v/>
      </c>
    </row>
    <row r="17">
      <c r="A17" s="3" t="inlineStr">
        <is>
          <t>Balance Sheet Actuals — FY2025 ($ in millions)</t>
        </is>
      </c>
      <c r="B17" s="12" t="n"/>
      <c r="C17" s="12" t="n"/>
      <c r="D17" s="12" t="n"/>
      <c r="E17" s="12" t="n"/>
      <c r="F17" s="12" t="n"/>
      <c r="G17" s="12" t="n"/>
    </row>
    <row r="18">
      <c r="A18" s="4" t="inlineStr">
        <is>
          <t>Cash &amp; equivalents</t>
        </is>
      </c>
      <c r="B18" s="6" t="n">
        <v>882.242</v>
      </c>
    </row>
    <row r="19">
      <c r="A19" s="4" t="inlineStr">
        <is>
          <t>Total debt</t>
        </is>
      </c>
      <c r="B19" s="6" t="n">
        <v>0</v>
      </c>
    </row>
    <row r="20">
      <c r="A20" s="4" t="inlineStr">
        <is>
          <t>Diluted shares outstanding (millions)</t>
        </is>
      </c>
      <c r="B20" s="6" t="n">
        <v>53.194</v>
      </c>
    </row>
    <row r="22">
      <c r="A22" s="3" t="inlineStr">
        <is>
          <t>5-Year Projection ($ in millions)</t>
        </is>
      </c>
      <c r="B22" s="12" t="n"/>
      <c r="C22" s="12" t="n"/>
      <c r="D22" s="12" t="n"/>
      <c r="E22" s="12" t="n"/>
      <c r="F22" s="12" t="n"/>
      <c r="G22" s="12" t="n"/>
    </row>
    <row r="23">
      <c r="A23" s="4" t="inlineStr">
        <is>
          <t>Fiscal year</t>
        </is>
      </c>
      <c r="B23" s="14" t="inlineStr">
        <is>
          <t>FY2026E</t>
        </is>
      </c>
      <c r="C23" s="14" t="inlineStr">
        <is>
          <t>FY2027E</t>
        </is>
      </c>
      <c r="D23" s="14" t="inlineStr">
        <is>
          <t>FY2028E</t>
        </is>
      </c>
      <c r="E23" s="14" t="inlineStr">
        <is>
          <t>FY2029E</t>
        </is>
      </c>
      <c r="F23" s="14" t="inlineStr">
        <is>
          <t>FY2030E</t>
        </is>
      </c>
    </row>
    <row r="24">
      <c r="A24" s="4" t="inlineStr">
        <is>
          <t>Revenue growth rate</t>
        </is>
      </c>
      <c r="B24" s="5">
        <f>$B$7+($B$6-$B$7)*1/5</f>
        <v/>
      </c>
      <c r="C24" s="5">
        <f>$B$7+($B$6-$B$7)*2/5</f>
        <v/>
      </c>
      <c r="D24" s="5">
        <f>$B$7+($B$6-$B$7)*3/5</f>
        <v/>
      </c>
      <c r="E24" s="5">
        <f>$B$7+($B$6-$B$7)*4/5</f>
        <v/>
      </c>
      <c r="F24" s="5">
        <f>$B$7+($B$6-$B$7)*5/5</f>
        <v/>
      </c>
    </row>
    <row r="25">
      <c r="A25" s="4" t="inlineStr">
        <is>
          <t>Projected revenue</t>
        </is>
      </c>
      <c r="B25" s="6">
        <f>F12*(1+B24)</f>
        <v/>
      </c>
      <c r="C25" s="6">
        <f>B25*(1+C24)</f>
        <v/>
      </c>
      <c r="D25" s="6">
        <f>C25*(1+D24)</f>
        <v/>
      </c>
      <c r="E25" s="6">
        <f>D25*(1+E24)</f>
        <v/>
      </c>
      <c r="F25" s="6">
        <f>E25*(1+F24)</f>
        <v/>
      </c>
    </row>
    <row r="26">
      <c r="A26" s="4" t="inlineStr">
        <is>
          <t>FCF margin (assumption, held flat)</t>
        </is>
      </c>
      <c r="B26" s="5">
        <f>$B$8</f>
        <v/>
      </c>
      <c r="C26" s="5">
        <f>$B$8</f>
        <v/>
      </c>
      <c r="D26" s="5">
        <f>$B$8</f>
        <v/>
      </c>
      <c r="E26" s="5">
        <f>$B$8</f>
        <v/>
      </c>
      <c r="F26" s="5">
        <f>$B$8</f>
        <v/>
      </c>
    </row>
    <row r="27">
      <c r="A27" s="4" t="inlineStr">
        <is>
          <t>Projected unlevered FCF</t>
        </is>
      </c>
      <c r="B27" s="6">
        <f>B25*B26</f>
        <v/>
      </c>
      <c r="C27" s="6">
        <f>C25*C26</f>
        <v/>
      </c>
      <c r="D27" s="6">
        <f>D25*D26</f>
        <v/>
      </c>
      <c r="E27" s="6">
        <f>E25*E26</f>
        <v/>
      </c>
      <c r="F27" s="6">
        <f>F25*F26</f>
        <v/>
      </c>
    </row>
    <row r="28">
      <c r="A28" s="4" t="inlineStr">
        <is>
          <t>Discount factor</t>
        </is>
      </c>
      <c r="B28" s="15">
        <f>1/(1+$B$5)^1</f>
        <v/>
      </c>
      <c r="C28" s="15">
        <f>1/(1+$B$5)^2</f>
        <v/>
      </c>
      <c r="D28" s="15">
        <f>1/(1+$B$5)^3</f>
        <v/>
      </c>
      <c r="E28" s="15">
        <f>1/(1+$B$5)^4</f>
        <v/>
      </c>
      <c r="F28" s="15">
        <f>1/(1+$B$5)^5</f>
        <v/>
      </c>
    </row>
    <row r="29">
      <c r="A29" s="4" t="inlineStr">
        <is>
          <t>PV of FCF</t>
        </is>
      </c>
      <c r="B29" s="6">
        <f>B27*B28</f>
        <v/>
      </c>
      <c r="C29" s="6">
        <f>C27*C28</f>
        <v/>
      </c>
      <c r="D29" s="6">
        <f>D27*D28</f>
        <v/>
      </c>
      <c r="E29" s="6">
        <f>E27*E28</f>
        <v/>
      </c>
      <c r="F29" s="6">
        <f>F27*F28</f>
        <v/>
      </c>
    </row>
    <row r="31">
      <c r="A31" s="3" t="inlineStr">
        <is>
          <t>Terminal Value &amp; Valuation</t>
        </is>
      </c>
      <c r="B31" s="12" t="n"/>
      <c r="C31" s="12" t="n"/>
      <c r="D31" s="12" t="n"/>
      <c r="E31" s="12" t="n"/>
      <c r="F31" s="12" t="n"/>
      <c r="G31" s="12" t="n"/>
    </row>
    <row r="32">
      <c r="A32" s="4" t="inlineStr">
        <is>
          <t>Terminal value (end of FY2030)</t>
        </is>
      </c>
      <c r="B32" s="6">
        <f>F27*(1+$B$6)/($B$5-$B$6)</f>
        <v/>
      </c>
    </row>
    <row r="33">
      <c r="A33" s="4" t="inlineStr">
        <is>
          <t>PV of terminal value</t>
        </is>
      </c>
      <c r="B33" s="6">
        <f>B32*F28</f>
        <v/>
      </c>
    </row>
    <row r="34">
      <c r="A34" s="4" t="inlineStr">
        <is>
          <t>Sum of PV of projected FCFs</t>
        </is>
      </c>
      <c r="B34" s="6">
        <f>SUM(B29:F29)</f>
        <v/>
      </c>
    </row>
    <row r="35">
      <c r="A35" s="4" t="inlineStr">
        <is>
          <t>Enterprise value</t>
        </is>
      </c>
      <c r="B35" s="16">
        <f>B33+B34</f>
        <v/>
      </c>
    </row>
    <row r="36">
      <c r="A36" s="4" t="inlineStr">
        <is>
          <t>Less: total debt</t>
        </is>
      </c>
      <c r="B36" s="6">
        <f>-B19</f>
        <v/>
      </c>
    </row>
    <row r="37">
      <c r="A37" s="4" t="inlineStr">
        <is>
          <t>Plus: cash &amp; equivalents</t>
        </is>
      </c>
      <c r="B37" s="6">
        <f>B18</f>
        <v/>
      </c>
    </row>
    <row r="38">
      <c r="A38" s="4" t="inlineStr">
        <is>
          <t>Equity value</t>
        </is>
      </c>
      <c r="B38" s="16">
        <f>B35+B36+B37</f>
        <v/>
      </c>
    </row>
    <row r="39">
      <c r="A39" s="4" t="inlineStr">
        <is>
          <t>Diluted shares outstanding (millions)</t>
        </is>
      </c>
      <c r="B39" s="6">
        <f>B20</f>
        <v/>
      </c>
    </row>
    <row r="40">
      <c r="A40" s="4" t="inlineStr">
        <is>
          <t>Implied value per share</t>
        </is>
      </c>
      <c r="B40" s="7">
        <f>B38/B39</f>
        <v/>
      </c>
    </row>
    <row r="42">
      <c r="A42" s="3" t="inlineStr">
        <is>
          <t>Sensitivity: Implied Value/Share (WACC x Terminal Growth)</t>
        </is>
      </c>
      <c r="B42" s="12" t="n"/>
      <c r="C42" s="12" t="n"/>
      <c r="D42" s="12" t="n"/>
      <c r="E42" s="12" t="n"/>
      <c r="F42" s="12" t="n"/>
      <c r="G42" s="12" t="n"/>
    </row>
    <row r="43">
      <c r="B43" s="17" t="inlineStr">
        <is>
          <t>WACC \ Term. g</t>
        </is>
      </c>
      <c r="C43" s="18" t="n">
        <v>0.02</v>
      </c>
      <c r="D43" s="18" t="n">
        <v>0.025</v>
      </c>
      <c r="E43" s="18" t="n">
        <v>0.03</v>
      </c>
      <c r="F43" s="18" t="n">
        <v>0.035</v>
      </c>
      <c r="G43" s="18" t="n">
        <v>0.04</v>
      </c>
    </row>
    <row r="44">
      <c r="B44" s="19" t="n">
        <v>0.08</v>
      </c>
      <c r="C44" s="20">
        <f>((((($F$12*(1+($B$7+(C$43-$B$7)*1/5)))*$B$8)/(1+$B$44)^1)+((($F$12*(1+($B$7+(C$43-$B$7)*1/5))*(1+($B$7+(C$43-$B$7)*2/5)))*$B$8)/(1+$B$44)^2)+((($F$12*(1+($B$7+(C$43-$B$7)*1/5))*(1+($B$7+(C$43-$B$7)*2/5))*(1+($B$7+(C$43-$B$7)*3/5)))*$B$8)/(1+$B$44)^3)+((($F$12*(1+($B$7+(C$43-$B$7)*1/5))*(1+($B$7+(C$43-$B$7)*2/5))*(1+($B$7+(C$43-$B$7)*3/5))*(1+($B$7+(C$43-$B$7)*4/5)))*$B$8)/(1+$B$44)^4)+((($F$12*(1+($B$7+(C$43-$B$7)*1/5))*(1+($B$7+(C$43-$B$7)*2/5))*(1+($B$7+(C$43-$B$7)*3/5))*(1+($B$7+(C$43-$B$7)*4/5))*(1+($B$7+(C$43-$B$7)*5/5)))*$B$8)/(1+$B$44)^5)+((((($F$12*(1+($B$7+(C$43-$B$7)*1/5))*(1+($B$7+(C$43-$B$7)*2/5))*(1+($B$7+(C$43-$B$7)*3/5))*(1+($B$7+(C$43-$B$7)*4/5))*(1+($B$7+(C$43-$B$7)*5/5)))*$B$8)*(1+C$43))/($B$44-C$43))/(1+$B$44)^5))-$B$19+$B$18)/$B$20</f>
        <v/>
      </c>
      <c r="D44" s="20">
        <f>((((($F$12*(1+($B$7+(D$43-$B$7)*1/5)))*$B$8)/(1+$B$44)^1)+((($F$12*(1+($B$7+(D$43-$B$7)*1/5))*(1+($B$7+(D$43-$B$7)*2/5)))*$B$8)/(1+$B$44)^2)+((($F$12*(1+($B$7+(D$43-$B$7)*1/5))*(1+($B$7+(D$43-$B$7)*2/5))*(1+($B$7+(D$43-$B$7)*3/5)))*$B$8)/(1+$B$44)^3)+((($F$12*(1+($B$7+(D$43-$B$7)*1/5))*(1+($B$7+(D$43-$B$7)*2/5))*(1+($B$7+(D$43-$B$7)*3/5))*(1+($B$7+(D$43-$B$7)*4/5)))*$B$8)/(1+$B$44)^4)+((($F$12*(1+($B$7+(D$43-$B$7)*1/5))*(1+($B$7+(D$43-$B$7)*2/5))*(1+($B$7+(D$43-$B$7)*3/5))*(1+($B$7+(D$43-$B$7)*4/5))*(1+($B$7+(D$43-$B$7)*5/5)))*$B$8)/(1+$B$44)^5)+((((($F$12*(1+($B$7+(D$43-$B$7)*1/5))*(1+($B$7+(D$43-$B$7)*2/5))*(1+($B$7+(D$43-$B$7)*3/5))*(1+($B$7+(D$43-$B$7)*4/5))*(1+($B$7+(D$43-$B$7)*5/5)))*$B$8)*(1+D$43))/($B$44-D$43))/(1+$B$44)^5))-$B$19+$B$18)/$B$20</f>
        <v/>
      </c>
      <c r="E44" s="20">
        <f>((((($F$12*(1+($B$7+(E$43-$B$7)*1/5)))*$B$8)/(1+$B$44)^1)+((($F$12*(1+($B$7+(E$43-$B$7)*1/5))*(1+($B$7+(E$43-$B$7)*2/5)))*$B$8)/(1+$B$44)^2)+((($F$12*(1+($B$7+(E$43-$B$7)*1/5))*(1+($B$7+(E$43-$B$7)*2/5))*(1+($B$7+(E$43-$B$7)*3/5)))*$B$8)/(1+$B$44)^3)+((($F$12*(1+($B$7+(E$43-$B$7)*1/5))*(1+($B$7+(E$43-$B$7)*2/5))*(1+($B$7+(E$43-$B$7)*3/5))*(1+($B$7+(E$43-$B$7)*4/5)))*$B$8)/(1+$B$44)^4)+((($F$12*(1+($B$7+(E$43-$B$7)*1/5))*(1+($B$7+(E$43-$B$7)*2/5))*(1+($B$7+(E$43-$B$7)*3/5))*(1+($B$7+(E$43-$B$7)*4/5))*(1+($B$7+(E$43-$B$7)*5/5)))*$B$8)/(1+$B$44)^5)+((((($F$12*(1+($B$7+(E$43-$B$7)*1/5))*(1+($B$7+(E$43-$B$7)*2/5))*(1+($B$7+(E$43-$B$7)*3/5))*(1+($B$7+(E$43-$B$7)*4/5))*(1+($B$7+(E$43-$B$7)*5/5)))*$B$8)*(1+E$43))/($B$44-E$43))/(1+$B$44)^5))-$B$19+$B$18)/$B$20</f>
        <v/>
      </c>
      <c r="F44" s="20">
        <f>((((($F$12*(1+($B$7+(F$43-$B$7)*1/5)))*$B$8)/(1+$B$44)^1)+((($F$12*(1+($B$7+(F$43-$B$7)*1/5))*(1+($B$7+(F$43-$B$7)*2/5)))*$B$8)/(1+$B$44)^2)+((($F$12*(1+($B$7+(F$43-$B$7)*1/5))*(1+($B$7+(F$43-$B$7)*2/5))*(1+($B$7+(F$43-$B$7)*3/5)))*$B$8)/(1+$B$44)^3)+((($F$12*(1+($B$7+(F$43-$B$7)*1/5))*(1+($B$7+(F$43-$B$7)*2/5))*(1+($B$7+(F$43-$B$7)*3/5))*(1+($B$7+(F$43-$B$7)*4/5)))*$B$8)/(1+$B$44)^4)+((($F$12*(1+($B$7+(F$43-$B$7)*1/5))*(1+($B$7+(F$43-$B$7)*2/5))*(1+($B$7+(F$43-$B$7)*3/5))*(1+($B$7+(F$43-$B$7)*4/5))*(1+($B$7+(F$43-$B$7)*5/5)))*$B$8)/(1+$B$44)^5)+((((($F$12*(1+($B$7+(F$43-$B$7)*1/5))*(1+($B$7+(F$43-$B$7)*2/5))*(1+($B$7+(F$43-$B$7)*3/5))*(1+($B$7+(F$43-$B$7)*4/5))*(1+($B$7+(F$43-$B$7)*5/5)))*$B$8)*(1+F$43))/($B$44-F$43))/(1+$B$44)^5))-$B$19+$B$18)/$B$20</f>
        <v/>
      </c>
      <c r="G44" s="20">
        <f>((((($F$12*(1+($B$7+(G$43-$B$7)*1/5)))*$B$8)/(1+$B$44)^1)+((($F$12*(1+($B$7+(G$43-$B$7)*1/5))*(1+($B$7+(G$43-$B$7)*2/5)))*$B$8)/(1+$B$44)^2)+((($F$12*(1+($B$7+(G$43-$B$7)*1/5))*(1+($B$7+(G$43-$B$7)*2/5))*(1+($B$7+(G$43-$B$7)*3/5)))*$B$8)/(1+$B$44)^3)+((($F$12*(1+($B$7+(G$43-$B$7)*1/5))*(1+($B$7+(G$43-$B$7)*2/5))*(1+($B$7+(G$43-$B$7)*3/5))*(1+($B$7+(G$43-$B$7)*4/5)))*$B$8)/(1+$B$44)^4)+((($F$12*(1+($B$7+(G$43-$B$7)*1/5))*(1+($B$7+(G$43-$B$7)*2/5))*(1+($B$7+(G$43-$B$7)*3/5))*(1+($B$7+(G$43-$B$7)*4/5))*(1+($B$7+(G$43-$B$7)*5/5)))*$B$8)/(1+$B$44)^5)+((((($F$12*(1+($B$7+(G$43-$B$7)*1/5))*(1+($B$7+(G$43-$B$7)*2/5))*(1+($B$7+(G$43-$B$7)*3/5))*(1+($B$7+(G$43-$B$7)*4/5))*(1+($B$7+(G$43-$B$7)*5/5)))*$B$8)*(1+G$43))/($B$44-G$43))/(1+$B$44)^5))-$B$19+$B$18)/$B$20</f>
        <v/>
      </c>
    </row>
    <row r="45">
      <c r="B45" s="19" t="n">
        <v>0.09</v>
      </c>
      <c r="C45" s="20">
        <f>((((($F$12*(1+($B$7+(C$43-$B$7)*1/5)))*$B$8)/(1+$B$45)^1)+((($F$12*(1+($B$7+(C$43-$B$7)*1/5))*(1+($B$7+(C$43-$B$7)*2/5)))*$B$8)/(1+$B$45)^2)+((($F$12*(1+($B$7+(C$43-$B$7)*1/5))*(1+($B$7+(C$43-$B$7)*2/5))*(1+($B$7+(C$43-$B$7)*3/5)))*$B$8)/(1+$B$45)^3)+((($F$12*(1+($B$7+(C$43-$B$7)*1/5))*(1+($B$7+(C$43-$B$7)*2/5))*(1+($B$7+(C$43-$B$7)*3/5))*(1+($B$7+(C$43-$B$7)*4/5)))*$B$8)/(1+$B$45)^4)+((($F$12*(1+($B$7+(C$43-$B$7)*1/5))*(1+($B$7+(C$43-$B$7)*2/5))*(1+($B$7+(C$43-$B$7)*3/5))*(1+($B$7+(C$43-$B$7)*4/5))*(1+($B$7+(C$43-$B$7)*5/5)))*$B$8)/(1+$B$45)^5)+((((($F$12*(1+($B$7+(C$43-$B$7)*1/5))*(1+($B$7+(C$43-$B$7)*2/5))*(1+($B$7+(C$43-$B$7)*3/5))*(1+($B$7+(C$43-$B$7)*4/5))*(1+($B$7+(C$43-$B$7)*5/5)))*$B$8)*(1+C$43))/($B$45-C$43))/(1+$B$45)^5))-$B$19+$B$18)/$B$20</f>
        <v/>
      </c>
      <c r="D45" s="20">
        <f>((((($F$12*(1+($B$7+(D$43-$B$7)*1/5)))*$B$8)/(1+$B$45)^1)+((($F$12*(1+($B$7+(D$43-$B$7)*1/5))*(1+($B$7+(D$43-$B$7)*2/5)))*$B$8)/(1+$B$45)^2)+((($F$12*(1+($B$7+(D$43-$B$7)*1/5))*(1+($B$7+(D$43-$B$7)*2/5))*(1+($B$7+(D$43-$B$7)*3/5)))*$B$8)/(1+$B$45)^3)+((($F$12*(1+($B$7+(D$43-$B$7)*1/5))*(1+($B$7+(D$43-$B$7)*2/5))*(1+($B$7+(D$43-$B$7)*3/5))*(1+($B$7+(D$43-$B$7)*4/5)))*$B$8)/(1+$B$45)^4)+((($F$12*(1+($B$7+(D$43-$B$7)*1/5))*(1+($B$7+(D$43-$B$7)*2/5))*(1+($B$7+(D$43-$B$7)*3/5))*(1+($B$7+(D$43-$B$7)*4/5))*(1+($B$7+(D$43-$B$7)*5/5)))*$B$8)/(1+$B$45)^5)+((((($F$12*(1+($B$7+(D$43-$B$7)*1/5))*(1+($B$7+(D$43-$B$7)*2/5))*(1+($B$7+(D$43-$B$7)*3/5))*(1+($B$7+(D$43-$B$7)*4/5))*(1+($B$7+(D$43-$B$7)*5/5)))*$B$8)*(1+D$43))/($B$45-D$43))/(1+$B$45)^5))-$B$19+$B$18)/$B$20</f>
        <v/>
      </c>
      <c r="E45" s="20">
        <f>((((($F$12*(1+($B$7+(E$43-$B$7)*1/5)))*$B$8)/(1+$B$45)^1)+((($F$12*(1+($B$7+(E$43-$B$7)*1/5))*(1+($B$7+(E$43-$B$7)*2/5)))*$B$8)/(1+$B$45)^2)+((($F$12*(1+($B$7+(E$43-$B$7)*1/5))*(1+($B$7+(E$43-$B$7)*2/5))*(1+($B$7+(E$43-$B$7)*3/5)))*$B$8)/(1+$B$45)^3)+((($F$12*(1+($B$7+(E$43-$B$7)*1/5))*(1+($B$7+(E$43-$B$7)*2/5))*(1+($B$7+(E$43-$B$7)*3/5))*(1+($B$7+(E$43-$B$7)*4/5)))*$B$8)/(1+$B$45)^4)+((($F$12*(1+($B$7+(E$43-$B$7)*1/5))*(1+($B$7+(E$43-$B$7)*2/5))*(1+($B$7+(E$43-$B$7)*3/5))*(1+($B$7+(E$43-$B$7)*4/5))*(1+($B$7+(E$43-$B$7)*5/5)))*$B$8)/(1+$B$45)^5)+((((($F$12*(1+($B$7+(E$43-$B$7)*1/5))*(1+($B$7+(E$43-$B$7)*2/5))*(1+($B$7+(E$43-$B$7)*3/5))*(1+($B$7+(E$43-$B$7)*4/5))*(1+($B$7+(E$43-$B$7)*5/5)))*$B$8)*(1+E$43))/($B$45-E$43))/(1+$B$45)^5))-$B$19+$B$18)/$B$20</f>
        <v/>
      </c>
      <c r="F45" s="20">
        <f>((((($F$12*(1+($B$7+(F$43-$B$7)*1/5)))*$B$8)/(1+$B$45)^1)+((($F$12*(1+($B$7+(F$43-$B$7)*1/5))*(1+($B$7+(F$43-$B$7)*2/5)))*$B$8)/(1+$B$45)^2)+((($F$12*(1+($B$7+(F$43-$B$7)*1/5))*(1+($B$7+(F$43-$B$7)*2/5))*(1+($B$7+(F$43-$B$7)*3/5)))*$B$8)/(1+$B$45)^3)+((($F$12*(1+($B$7+(F$43-$B$7)*1/5))*(1+($B$7+(F$43-$B$7)*2/5))*(1+($B$7+(F$43-$B$7)*3/5))*(1+($B$7+(F$43-$B$7)*4/5)))*$B$8)/(1+$B$45)^4)+((($F$12*(1+($B$7+(F$43-$B$7)*1/5))*(1+($B$7+(F$43-$B$7)*2/5))*(1+($B$7+(F$43-$B$7)*3/5))*(1+($B$7+(F$43-$B$7)*4/5))*(1+($B$7+(F$43-$B$7)*5/5)))*$B$8)/(1+$B$45)^5)+((((($F$12*(1+($B$7+(F$43-$B$7)*1/5))*(1+($B$7+(F$43-$B$7)*2/5))*(1+($B$7+(F$43-$B$7)*3/5))*(1+($B$7+(F$43-$B$7)*4/5))*(1+($B$7+(F$43-$B$7)*5/5)))*$B$8)*(1+F$43))/($B$45-F$43))/(1+$B$45)^5))-$B$19+$B$18)/$B$20</f>
        <v/>
      </c>
      <c r="G45" s="20">
        <f>((((($F$12*(1+($B$7+(G$43-$B$7)*1/5)))*$B$8)/(1+$B$45)^1)+((($F$12*(1+($B$7+(G$43-$B$7)*1/5))*(1+($B$7+(G$43-$B$7)*2/5)))*$B$8)/(1+$B$45)^2)+((($F$12*(1+($B$7+(G$43-$B$7)*1/5))*(1+($B$7+(G$43-$B$7)*2/5))*(1+($B$7+(G$43-$B$7)*3/5)))*$B$8)/(1+$B$45)^3)+((($F$12*(1+($B$7+(G$43-$B$7)*1/5))*(1+($B$7+(G$43-$B$7)*2/5))*(1+($B$7+(G$43-$B$7)*3/5))*(1+($B$7+(G$43-$B$7)*4/5)))*$B$8)/(1+$B$45)^4)+((($F$12*(1+($B$7+(G$43-$B$7)*1/5))*(1+($B$7+(G$43-$B$7)*2/5))*(1+($B$7+(G$43-$B$7)*3/5))*(1+($B$7+(G$43-$B$7)*4/5))*(1+($B$7+(G$43-$B$7)*5/5)))*$B$8)/(1+$B$45)^5)+((((($F$12*(1+($B$7+(G$43-$B$7)*1/5))*(1+($B$7+(G$43-$B$7)*2/5))*(1+($B$7+(G$43-$B$7)*3/5))*(1+($B$7+(G$43-$B$7)*4/5))*(1+($B$7+(G$43-$B$7)*5/5)))*$B$8)*(1+G$43))/($B$45-G$43))/(1+$B$45)^5))-$B$19+$B$18)/$B$20</f>
        <v/>
      </c>
    </row>
    <row r="46">
      <c r="B46" s="19" t="n">
        <v>0.1</v>
      </c>
      <c r="C46" s="20">
        <f>((((($F$12*(1+($B$7+(C$43-$B$7)*1/5)))*$B$8)/(1+$B$46)^1)+((($F$12*(1+($B$7+(C$43-$B$7)*1/5))*(1+($B$7+(C$43-$B$7)*2/5)))*$B$8)/(1+$B$46)^2)+((($F$12*(1+($B$7+(C$43-$B$7)*1/5))*(1+($B$7+(C$43-$B$7)*2/5))*(1+($B$7+(C$43-$B$7)*3/5)))*$B$8)/(1+$B$46)^3)+((($F$12*(1+($B$7+(C$43-$B$7)*1/5))*(1+($B$7+(C$43-$B$7)*2/5))*(1+($B$7+(C$43-$B$7)*3/5))*(1+($B$7+(C$43-$B$7)*4/5)))*$B$8)/(1+$B$46)^4)+((($F$12*(1+($B$7+(C$43-$B$7)*1/5))*(1+($B$7+(C$43-$B$7)*2/5))*(1+($B$7+(C$43-$B$7)*3/5))*(1+($B$7+(C$43-$B$7)*4/5))*(1+($B$7+(C$43-$B$7)*5/5)))*$B$8)/(1+$B$46)^5)+((((($F$12*(1+($B$7+(C$43-$B$7)*1/5))*(1+($B$7+(C$43-$B$7)*2/5))*(1+($B$7+(C$43-$B$7)*3/5))*(1+($B$7+(C$43-$B$7)*4/5))*(1+($B$7+(C$43-$B$7)*5/5)))*$B$8)*(1+C$43))/($B$46-C$43))/(1+$B$46)^5))-$B$19+$B$18)/$B$20</f>
        <v/>
      </c>
      <c r="D46" s="20">
        <f>((((($F$12*(1+($B$7+(D$43-$B$7)*1/5)))*$B$8)/(1+$B$46)^1)+((($F$12*(1+($B$7+(D$43-$B$7)*1/5))*(1+($B$7+(D$43-$B$7)*2/5)))*$B$8)/(1+$B$46)^2)+((($F$12*(1+($B$7+(D$43-$B$7)*1/5))*(1+($B$7+(D$43-$B$7)*2/5))*(1+($B$7+(D$43-$B$7)*3/5)))*$B$8)/(1+$B$46)^3)+((($F$12*(1+($B$7+(D$43-$B$7)*1/5))*(1+($B$7+(D$43-$B$7)*2/5))*(1+($B$7+(D$43-$B$7)*3/5))*(1+($B$7+(D$43-$B$7)*4/5)))*$B$8)/(1+$B$46)^4)+((($F$12*(1+($B$7+(D$43-$B$7)*1/5))*(1+($B$7+(D$43-$B$7)*2/5))*(1+($B$7+(D$43-$B$7)*3/5))*(1+($B$7+(D$43-$B$7)*4/5))*(1+($B$7+(D$43-$B$7)*5/5)))*$B$8)/(1+$B$46)^5)+((((($F$12*(1+($B$7+(D$43-$B$7)*1/5))*(1+($B$7+(D$43-$B$7)*2/5))*(1+($B$7+(D$43-$B$7)*3/5))*(1+($B$7+(D$43-$B$7)*4/5))*(1+($B$7+(D$43-$B$7)*5/5)))*$B$8)*(1+D$43))/($B$46-D$43))/(1+$B$46)^5))-$B$19+$B$18)/$B$20</f>
        <v/>
      </c>
      <c r="E46" s="20">
        <f>((((($F$12*(1+($B$7+(E$43-$B$7)*1/5)))*$B$8)/(1+$B$46)^1)+((($F$12*(1+($B$7+(E$43-$B$7)*1/5))*(1+($B$7+(E$43-$B$7)*2/5)))*$B$8)/(1+$B$46)^2)+((($F$12*(1+($B$7+(E$43-$B$7)*1/5))*(1+($B$7+(E$43-$B$7)*2/5))*(1+($B$7+(E$43-$B$7)*3/5)))*$B$8)/(1+$B$46)^3)+((($F$12*(1+($B$7+(E$43-$B$7)*1/5))*(1+($B$7+(E$43-$B$7)*2/5))*(1+($B$7+(E$43-$B$7)*3/5))*(1+($B$7+(E$43-$B$7)*4/5)))*$B$8)/(1+$B$46)^4)+((($F$12*(1+($B$7+(E$43-$B$7)*1/5))*(1+($B$7+(E$43-$B$7)*2/5))*(1+($B$7+(E$43-$B$7)*3/5))*(1+($B$7+(E$43-$B$7)*4/5))*(1+($B$7+(E$43-$B$7)*5/5)))*$B$8)/(1+$B$46)^5)+((((($F$12*(1+($B$7+(E$43-$B$7)*1/5))*(1+($B$7+(E$43-$B$7)*2/5))*(1+($B$7+(E$43-$B$7)*3/5))*(1+($B$7+(E$43-$B$7)*4/5))*(1+($B$7+(E$43-$B$7)*5/5)))*$B$8)*(1+E$43))/($B$46-E$43))/(1+$B$46)^5))-$B$19+$B$18)/$B$20</f>
        <v/>
      </c>
      <c r="F46" s="20">
        <f>((((($F$12*(1+($B$7+(F$43-$B$7)*1/5)))*$B$8)/(1+$B$46)^1)+((($F$12*(1+($B$7+(F$43-$B$7)*1/5))*(1+($B$7+(F$43-$B$7)*2/5)))*$B$8)/(1+$B$46)^2)+((($F$12*(1+($B$7+(F$43-$B$7)*1/5))*(1+($B$7+(F$43-$B$7)*2/5))*(1+($B$7+(F$43-$B$7)*3/5)))*$B$8)/(1+$B$46)^3)+((($F$12*(1+($B$7+(F$43-$B$7)*1/5))*(1+($B$7+(F$43-$B$7)*2/5))*(1+($B$7+(F$43-$B$7)*3/5))*(1+($B$7+(F$43-$B$7)*4/5)))*$B$8)/(1+$B$46)^4)+((($F$12*(1+($B$7+(F$43-$B$7)*1/5))*(1+($B$7+(F$43-$B$7)*2/5))*(1+($B$7+(F$43-$B$7)*3/5))*(1+($B$7+(F$43-$B$7)*4/5))*(1+($B$7+(F$43-$B$7)*5/5)))*$B$8)/(1+$B$46)^5)+((((($F$12*(1+($B$7+(F$43-$B$7)*1/5))*(1+($B$7+(F$43-$B$7)*2/5))*(1+($B$7+(F$43-$B$7)*3/5))*(1+($B$7+(F$43-$B$7)*4/5))*(1+($B$7+(F$43-$B$7)*5/5)))*$B$8)*(1+F$43))/($B$46-F$43))/(1+$B$46)^5))-$B$19+$B$18)/$B$20</f>
        <v/>
      </c>
      <c r="G46" s="20">
        <f>((((($F$12*(1+($B$7+(G$43-$B$7)*1/5)))*$B$8)/(1+$B$46)^1)+((($F$12*(1+($B$7+(G$43-$B$7)*1/5))*(1+($B$7+(G$43-$B$7)*2/5)))*$B$8)/(1+$B$46)^2)+((($F$12*(1+($B$7+(G$43-$B$7)*1/5))*(1+($B$7+(G$43-$B$7)*2/5))*(1+($B$7+(G$43-$B$7)*3/5)))*$B$8)/(1+$B$46)^3)+((($F$12*(1+($B$7+(G$43-$B$7)*1/5))*(1+($B$7+(G$43-$B$7)*2/5))*(1+($B$7+(G$43-$B$7)*3/5))*(1+($B$7+(G$43-$B$7)*4/5)))*$B$8)/(1+$B$46)^4)+((($F$12*(1+($B$7+(G$43-$B$7)*1/5))*(1+($B$7+(G$43-$B$7)*2/5))*(1+($B$7+(G$43-$B$7)*3/5))*(1+($B$7+(G$43-$B$7)*4/5))*(1+($B$7+(G$43-$B$7)*5/5)))*$B$8)/(1+$B$46)^5)+((((($F$12*(1+($B$7+(G$43-$B$7)*1/5))*(1+($B$7+(G$43-$B$7)*2/5))*(1+($B$7+(G$43-$B$7)*3/5))*(1+($B$7+(G$43-$B$7)*4/5))*(1+($B$7+(G$43-$B$7)*5/5)))*$B$8)*(1+G$43))/($B$46-G$43))/(1+$B$46)^5))-$B$19+$B$18)/$B$20</f>
        <v/>
      </c>
    </row>
    <row r="47">
      <c r="B47" s="19" t="n">
        <v>0.11</v>
      </c>
      <c r="C47" s="20">
        <f>((((($F$12*(1+($B$7+(C$43-$B$7)*1/5)))*$B$8)/(1+$B$47)^1)+((($F$12*(1+($B$7+(C$43-$B$7)*1/5))*(1+($B$7+(C$43-$B$7)*2/5)))*$B$8)/(1+$B$47)^2)+((($F$12*(1+($B$7+(C$43-$B$7)*1/5))*(1+($B$7+(C$43-$B$7)*2/5))*(1+($B$7+(C$43-$B$7)*3/5)))*$B$8)/(1+$B$47)^3)+((($F$12*(1+($B$7+(C$43-$B$7)*1/5))*(1+($B$7+(C$43-$B$7)*2/5))*(1+($B$7+(C$43-$B$7)*3/5))*(1+($B$7+(C$43-$B$7)*4/5)))*$B$8)/(1+$B$47)^4)+((($F$12*(1+($B$7+(C$43-$B$7)*1/5))*(1+($B$7+(C$43-$B$7)*2/5))*(1+($B$7+(C$43-$B$7)*3/5))*(1+($B$7+(C$43-$B$7)*4/5))*(1+($B$7+(C$43-$B$7)*5/5)))*$B$8)/(1+$B$47)^5)+((((($F$12*(1+($B$7+(C$43-$B$7)*1/5))*(1+($B$7+(C$43-$B$7)*2/5))*(1+($B$7+(C$43-$B$7)*3/5))*(1+($B$7+(C$43-$B$7)*4/5))*(1+($B$7+(C$43-$B$7)*5/5)))*$B$8)*(1+C$43))/($B$47-C$43))/(1+$B$47)^5))-$B$19+$B$18)/$B$20</f>
        <v/>
      </c>
      <c r="D47" s="20">
        <f>((((($F$12*(1+($B$7+(D$43-$B$7)*1/5)))*$B$8)/(1+$B$47)^1)+((($F$12*(1+($B$7+(D$43-$B$7)*1/5))*(1+($B$7+(D$43-$B$7)*2/5)))*$B$8)/(1+$B$47)^2)+((($F$12*(1+($B$7+(D$43-$B$7)*1/5))*(1+($B$7+(D$43-$B$7)*2/5))*(1+($B$7+(D$43-$B$7)*3/5)))*$B$8)/(1+$B$47)^3)+((($F$12*(1+($B$7+(D$43-$B$7)*1/5))*(1+($B$7+(D$43-$B$7)*2/5))*(1+($B$7+(D$43-$B$7)*3/5))*(1+($B$7+(D$43-$B$7)*4/5)))*$B$8)/(1+$B$47)^4)+((($F$12*(1+($B$7+(D$43-$B$7)*1/5))*(1+($B$7+(D$43-$B$7)*2/5))*(1+($B$7+(D$43-$B$7)*3/5))*(1+($B$7+(D$43-$B$7)*4/5))*(1+($B$7+(D$43-$B$7)*5/5)))*$B$8)/(1+$B$47)^5)+((((($F$12*(1+($B$7+(D$43-$B$7)*1/5))*(1+($B$7+(D$43-$B$7)*2/5))*(1+($B$7+(D$43-$B$7)*3/5))*(1+($B$7+(D$43-$B$7)*4/5))*(1+($B$7+(D$43-$B$7)*5/5)))*$B$8)*(1+D$43))/($B$47-D$43))/(1+$B$47)^5))-$B$19+$B$18)/$B$20</f>
        <v/>
      </c>
      <c r="E47" s="20">
        <f>((((($F$12*(1+($B$7+(E$43-$B$7)*1/5)))*$B$8)/(1+$B$47)^1)+((($F$12*(1+($B$7+(E$43-$B$7)*1/5))*(1+($B$7+(E$43-$B$7)*2/5)))*$B$8)/(1+$B$47)^2)+((($F$12*(1+($B$7+(E$43-$B$7)*1/5))*(1+($B$7+(E$43-$B$7)*2/5))*(1+($B$7+(E$43-$B$7)*3/5)))*$B$8)/(1+$B$47)^3)+((($F$12*(1+($B$7+(E$43-$B$7)*1/5))*(1+($B$7+(E$43-$B$7)*2/5))*(1+($B$7+(E$43-$B$7)*3/5))*(1+($B$7+(E$43-$B$7)*4/5)))*$B$8)/(1+$B$47)^4)+((($F$12*(1+($B$7+(E$43-$B$7)*1/5))*(1+($B$7+(E$43-$B$7)*2/5))*(1+($B$7+(E$43-$B$7)*3/5))*(1+($B$7+(E$43-$B$7)*4/5))*(1+($B$7+(E$43-$B$7)*5/5)))*$B$8)/(1+$B$47)^5)+((((($F$12*(1+($B$7+(E$43-$B$7)*1/5))*(1+($B$7+(E$43-$B$7)*2/5))*(1+($B$7+(E$43-$B$7)*3/5))*(1+($B$7+(E$43-$B$7)*4/5))*(1+($B$7+(E$43-$B$7)*5/5)))*$B$8)*(1+E$43))/($B$47-E$43))/(1+$B$47)^5))-$B$19+$B$18)/$B$20</f>
        <v/>
      </c>
      <c r="F47" s="20">
        <f>((((($F$12*(1+($B$7+(F$43-$B$7)*1/5)))*$B$8)/(1+$B$47)^1)+((($F$12*(1+($B$7+(F$43-$B$7)*1/5))*(1+($B$7+(F$43-$B$7)*2/5)))*$B$8)/(1+$B$47)^2)+((($F$12*(1+($B$7+(F$43-$B$7)*1/5))*(1+($B$7+(F$43-$B$7)*2/5))*(1+($B$7+(F$43-$B$7)*3/5)))*$B$8)/(1+$B$47)^3)+((($F$12*(1+($B$7+(F$43-$B$7)*1/5))*(1+($B$7+(F$43-$B$7)*2/5))*(1+($B$7+(F$43-$B$7)*3/5))*(1+($B$7+(F$43-$B$7)*4/5)))*$B$8)/(1+$B$47)^4)+((($F$12*(1+($B$7+(F$43-$B$7)*1/5))*(1+($B$7+(F$43-$B$7)*2/5))*(1+($B$7+(F$43-$B$7)*3/5))*(1+($B$7+(F$43-$B$7)*4/5))*(1+($B$7+(F$43-$B$7)*5/5)))*$B$8)/(1+$B$47)^5)+((((($F$12*(1+($B$7+(F$43-$B$7)*1/5))*(1+($B$7+(F$43-$B$7)*2/5))*(1+($B$7+(F$43-$B$7)*3/5))*(1+($B$7+(F$43-$B$7)*4/5))*(1+($B$7+(F$43-$B$7)*5/5)))*$B$8)*(1+F$43))/($B$47-F$43))/(1+$B$47)^5))-$B$19+$B$18)/$B$20</f>
        <v/>
      </c>
      <c r="G47" s="20">
        <f>((((($F$12*(1+($B$7+(G$43-$B$7)*1/5)))*$B$8)/(1+$B$47)^1)+((($F$12*(1+($B$7+(G$43-$B$7)*1/5))*(1+($B$7+(G$43-$B$7)*2/5)))*$B$8)/(1+$B$47)^2)+((($F$12*(1+($B$7+(G$43-$B$7)*1/5))*(1+($B$7+(G$43-$B$7)*2/5))*(1+($B$7+(G$43-$B$7)*3/5)))*$B$8)/(1+$B$47)^3)+((($F$12*(1+($B$7+(G$43-$B$7)*1/5))*(1+($B$7+(G$43-$B$7)*2/5))*(1+($B$7+(G$43-$B$7)*3/5))*(1+($B$7+(G$43-$B$7)*4/5)))*$B$8)/(1+$B$47)^4)+((($F$12*(1+($B$7+(G$43-$B$7)*1/5))*(1+($B$7+(G$43-$B$7)*2/5))*(1+($B$7+(G$43-$B$7)*3/5))*(1+($B$7+(G$43-$B$7)*4/5))*(1+($B$7+(G$43-$B$7)*5/5)))*$B$8)/(1+$B$47)^5)+((((($F$12*(1+($B$7+(G$43-$B$7)*1/5))*(1+($B$7+(G$43-$B$7)*2/5))*(1+($B$7+(G$43-$B$7)*3/5))*(1+($B$7+(G$43-$B$7)*4/5))*(1+($B$7+(G$43-$B$7)*5/5)))*$B$8)*(1+G$43))/($B$47-G$43))/(1+$B$47)^5))-$B$19+$B$18)/$B$20</f>
        <v/>
      </c>
    </row>
    <row r="48">
      <c r="B48" s="19" t="n">
        <v>0.12</v>
      </c>
      <c r="C48" s="20">
        <f>((((($F$12*(1+($B$7+(C$43-$B$7)*1/5)))*$B$8)/(1+$B$48)^1)+((($F$12*(1+($B$7+(C$43-$B$7)*1/5))*(1+($B$7+(C$43-$B$7)*2/5)))*$B$8)/(1+$B$48)^2)+((($F$12*(1+($B$7+(C$43-$B$7)*1/5))*(1+($B$7+(C$43-$B$7)*2/5))*(1+($B$7+(C$43-$B$7)*3/5)))*$B$8)/(1+$B$48)^3)+((($F$12*(1+($B$7+(C$43-$B$7)*1/5))*(1+($B$7+(C$43-$B$7)*2/5))*(1+($B$7+(C$43-$B$7)*3/5))*(1+($B$7+(C$43-$B$7)*4/5)))*$B$8)/(1+$B$48)^4)+((($F$12*(1+($B$7+(C$43-$B$7)*1/5))*(1+($B$7+(C$43-$B$7)*2/5))*(1+($B$7+(C$43-$B$7)*3/5))*(1+($B$7+(C$43-$B$7)*4/5))*(1+($B$7+(C$43-$B$7)*5/5)))*$B$8)/(1+$B$48)^5)+((((($F$12*(1+($B$7+(C$43-$B$7)*1/5))*(1+($B$7+(C$43-$B$7)*2/5))*(1+($B$7+(C$43-$B$7)*3/5))*(1+($B$7+(C$43-$B$7)*4/5))*(1+($B$7+(C$43-$B$7)*5/5)))*$B$8)*(1+C$43))/($B$48-C$43))/(1+$B$48)^5))-$B$19+$B$18)/$B$20</f>
        <v/>
      </c>
      <c r="D48" s="20">
        <f>((((($F$12*(1+($B$7+(D$43-$B$7)*1/5)))*$B$8)/(1+$B$48)^1)+((($F$12*(1+($B$7+(D$43-$B$7)*1/5))*(1+($B$7+(D$43-$B$7)*2/5)))*$B$8)/(1+$B$48)^2)+((($F$12*(1+($B$7+(D$43-$B$7)*1/5))*(1+($B$7+(D$43-$B$7)*2/5))*(1+($B$7+(D$43-$B$7)*3/5)))*$B$8)/(1+$B$48)^3)+((($F$12*(1+($B$7+(D$43-$B$7)*1/5))*(1+($B$7+(D$43-$B$7)*2/5))*(1+($B$7+(D$43-$B$7)*3/5))*(1+($B$7+(D$43-$B$7)*4/5)))*$B$8)/(1+$B$48)^4)+((($F$12*(1+($B$7+(D$43-$B$7)*1/5))*(1+($B$7+(D$43-$B$7)*2/5))*(1+($B$7+(D$43-$B$7)*3/5))*(1+($B$7+(D$43-$B$7)*4/5))*(1+($B$7+(D$43-$B$7)*5/5)))*$B$8)/(1+$B$48)^5)+((((($F$12*(1+($B$7+(D$43-$B$7)*1/5))*(1+($B$7+(D$43-$B$7)*2/5))*(1+($B$7+(D$43-$B$7)*3/5))*(1+($B$7+(D$43-$B$7)*4/5))*(1+($B$7+(D$43-$B$7)*5/5)))*$B$8)*(1+D$43))/($B$48-D$43))/(1+$B$48)^5))-$B$19+$B$18)/$B$20</f>
        <v/>
      </c>
      <c r="E48" s="20">
        <f>((((($F$12*(1+($B$7+(E$43-$B$7)*1/5)))*$B$8)/(1+$B$48)^1)+((($F$12*(1+($B$7+(E$43-$B$7)*1/5))*(1+($B$7+(E$43-$B$7)*2/5)))*$B$8)/(1+$B$48)^2)+((($F$12*(1+($B$7+(E$43-$B$7)*1/5))*(1+($B$7+(E$43-$B$7)*2/5))*(1+($B$7+(E$43-$B$7)*3/5)))*$B$8)/(1+$B$48)^3)+((($F$12*(1+($B$7+(E$43-$B$7)*1/5))*(1+($B$7+(E$43-$B$7)*2/5))*(1+($B$7+(E$43-$B$7)*3/5))*(1+($B$7+(E$43-$B$7)*4/5)))*$B$8)/(1+$B$48)^4)+((($F$12*(1+($B$7+(E$43-$B$7)*1/5))*(1+($B$7+(E$43-$B$7)*2/5))*(1+($B$7+(E$43-$B$7)*3/5))*(1+($B$7+(E$43-$B$7)*4/5))*(1+($B$7+(E$43-$B$7)*5/5)))*$B$8)/(1+$B$48)^5)+((((($F$12*(1+($B$7+(E$43-$B$7)*1/5))*(1+($B$7+(E$43-$B$7)*2/5))*(1+($B$7+(E$43-$B$7)*3/5))*(1+($B$7+(E$43-$B$7)*4/5))*(1+($B$7+(E$43-$B$7)*5/5)))*$B$8)*(1+E$43))/($B$48-E$43))/(1+$B$48)^5))-$B$19+$B$18)/$B$20</f>
        <v/>
      </c>
      <c r="F48" s="20">
        <f>((((($F$12*(1+($B$7+(F$43-$B$7)*1/5)))*$B$8)/(1+$B$48)^1)+((($F$12*(1+($B$7+(F$43-$B$7)*1/5))*(1+($B$7+(F$43-$B$7)*2/5)))*$B$8)/(1+$B$48)^2)+((($F$12*(1+($B$7+(F$43-$B$7)*1/5))*(1+($B$7+(F$43-$B$7)*2/5))*(1+($B$7+(F$43-$B$7)*3/5)))*$B$8)/(1+$B$48)^3)+((($F$12*(1+($B$7+(F$43-$B$7)*1/5))*(1+($B$7+(F$43-$B$7)*2/5))*(1+($B$7+(F$43-$B$7)*3/5))*(1+($B$7+(F$43-$B$7)*4/5)))*$B$8)/(1+$B$48)^4)+((($F$12*(1+($B$7+(F$43-$B$7)*1/5))*(1+($B$7+(F$43-$B$7)*2/5))*(1+($B$7+(F$43-$B$7)*3/5))*(1+($B$7+(F$43-$B$7)*4/5))*(1+($B$7+(F$43-$B$7)*5/5)))*$B$8)/(1+$B$48)^5)+((((($F$12*(1+($B$7+(F$43-$B$7)*1/5))*(1+($B$7+(F$43-$B$7)*2/5))*(1+($B$7+(F$43-$B$7)*3/5))*(1+($B$7+(F$43-$B$7)*4/5))*(1+($B$7+(F$43-$B$7)*5/5)))*$B$8)*(1+F$43))/($B$48-F$43))/(1+$B$48)^5))-$B$19+$B$18)/$B$20</f>
        <v/>
      </c>
      <c r="G48" s="20">
        <f>((((($F$12*(1+($B$7+(G$43-$B$7)*1/5)))*$B$8)/(1+$B$48)^1)+((($F$12*(1+($B$7+(G$43-$B$7)*1/5))*(1+($B$7+(G$43-$B$7)*2/5)))*$B$8)/(1+$B$48)^2)+((($F$12*(1+($B$7+(G$43-$B$7)*1/5))*(1+($B$7+(G$43-$B$7)*2/5))*(1+($B$7+(G$43-$B$7)*3/5)))*$B$8)/(1+$B$48)^3)+((($F$12*(1+($B$7+(G$43-$B$7)*1/5))*(1+($B$7+(G$43-$B$7)*2/5))*(1+($B$7+(G$43-$B$7)*3/5))*(1+($B$7+(G$43-$B$7)*4/5)))*$B$8)/(1+$B$48)^4)+((($F$12*(1+($B$7+(G$43-$B$7)*1/5))*(1+($B$7+(G$43-$B$7)*2/5))*(1+($B$7+(G$43-$B$7)*3/5))*(1+($B$7+(G$43-$B$7)*4/5))*(1+($B$7+(G$43-$B$7)*5/5)))*$B$8)/(1+$B$48)^5)+((((($F$12*(1+($B$7+(G$43-$B$7)*1/5))*(1+($B$7+(G$43-$B$7)*2/5))*(1+($B$7+(G$43-$B$7)*3/5))*(1+($B$7+(G$43-$B$7)*4/5))*(1+($B$7+(G$43-$B$7)*5/5)))*$B$8)*(1+G$43))/($B$48-G$43))/(1+$B$48)^5))-$B$19+$B$18)/$B$20</f>
        <v/>
      </c>
    </row>
    <row r="50">
      <c r="A50" s="3" t="inlineStr">
        <is>
          <t>Tornado Inputs (other variable held at its base case)</t>
        </is>
      </c>
      <c r="B50" s="12" t="n"/>
      <c r="C50" s="12" t="n"/>
      <c r="D50" s="12" t="n"/>
      <c r="E50" s="12" t="n"/>
      <c r="F50" s="12" t="n"/>
      <c r="G50" s="12" t="n"/>
    </row>
    <row r="51">
      <c r="A51" s="17" t="inlineStr">
        <is>
          <t>Factor</t>
        </is>
      </c>
      <c r="B51" s="17" t="inlineStr">
        <is>
          <t>Low</t>
        </is>
      </c>
      <c r="C51" s="17" t="inlineStr">
        <is>
          <t>High</t>
        </is>
      </c>
      <c r="D51" s="17" t="inlineStr">
        <is>
          <t>Base (chart helper)</t>
        </is>
      </c>
      <c r="E51" s="17" t="inlineStr">
        <is>
          <t>Span (chart helper)</t>
        </is>
      </c>
    </row>
    <row r="52">
      <c r="A52" s="4" t="inlineStr">
        <is>
          <t>WACC (8% → 12%)</t>
        </is>
      </c>
      <c r="B52" s="8">
        <f>E44</f>
        <v/>
      </c>
      <c r="C52" s="8">
        <f>E48</f>
        <v/>
      </c>
      <c r="D52" s="8">
        <f>MIN(B52,C52)</f>
        <v/>
      </c>
      <c r="E52" s="8">
        <f>ABS(C52-B52)</f>
        <v/>
      </c>
    </row>
    <row r="53">
      <c r="A53" s="4" t="inlineStr">
        <is>
          <t>Terminal growth (2% → 4%)</t>
        </is>
      </c>
      <c r="B53" s="8">
        <f>C46</f>
        <v/>
      </c>
      <c r="C53" s="8">
        <f>G46</f>
        <v/>
      </c>
      <c r="D53" s="8">
        <f>MIN(B53,C53)</f>
        <v/>
      </c>
      <c r="E53" s="8">
        <f>ABS(C53-B53)</f>
        <v/>
      </c>
    </row>
  </sheetData>
  <conditionalFormatting sqref="C44:G4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TEAM — Atlassian Corp</t>
        </is>
      </c>
    </row>
    <row r="2">
      <c r="A2" s="4" t="inlineStr">
        <is>
          <t>Unlevered DCF | $ in millions except per-share and share count</t>
        </is>
      </c>
    </row>
    <row r="4">
      <c r="A4" s="3" t="inlineStr">
        <is>
          <t>Assumptions (edit the highlighted cells)</t>
        </is>
      </c>
      <c r="B4" s="12" t="n"/>
      <c r="C4" s="12" t="n"/>
      <c r="D4" s="12" t="n"/>
      <c r="E4" s="12" t="n"/>
      <c r="F4" s="12" t="n"/>
      <c r="G4" s="12" t="n"/>
    </row>
    <row r="5">
      <c r="A5" s="4" t="inlineStr">
        <is>
          <t>WACC (discount rate)</t>
        </is>
      </c>
      <c r="B5" s="13" t="n">
        <v>0.1</v>
      </c>
    </row>
    <row r="6">
      <c r="A6" s="4" t="inlineStr">
        <is>
          <t>Terminal growth rate</t>
        </is>
      </c>
      <c r="B6" s="13" t="n">
        <v>0.03</v>
      </c>
    </row>
    <row r="7">
      <c r="A7" s="4" t="inlineStr">
        <is>
          <t>Starting revenue growth rate</t>
        </is>
      </c>
      <c r="B7" s="13" t="n">
        <v>0.1965540334827467</v>
      </c>
      <c r="C7" s="2" t="inlineStr">
        <is>
          <t>default: most recent YoY revenue growth</t>
        </is>
      </c>
    </row>
    <row r="8">
      <c r="A8" s="4" t="inlineStr">
        <is>
          <t>Unlevered FCF margin (% of revenue)</t>
        </is>
      </c>
      <c r="B8" s="13" t="n">
        <v>0.2980385415133672</v>
      </c>
      <c r="C8" s="2" t="inlineStr">
        <is>
          <t>default: avg of last 2 fiscal years' FCF / revenue</t>
        </is>
      </c>
    </row>
    <row r="10">
      <c r="A10" s="3" t="inlineStr">
        <is>
          <t>Historical Trend ($ in millions)</t>
        </is>
      </c>
      <c r="B10" s="12" t="n"/>
      <c r="C10" s="12" t="n"/>
      <c r="D10" s="12" t="n"/>
      <c r="E10" s="12" t="n"/>
      <c r="F10" s="12" t="n"/>
      <c r="G10" s="12" t="n"/>
    </row>
    <row r="11">
      <c r="A11" s="4" t="inlineStr">
        <is>
          <t>Fiscal year</t>
        </is>
      </c>
      <c r="B11" s="14" t="n">
        <v>2021</v>
      </c>
      <c r="C11" s="14" t="n">
        <v>2022</v>
      </c>
      <c r="D11" s="14" t="n">
        <v>2023</v>
      </c>
      <c r="E11" s="14" t="n">
        <v>2024</v>
      </c>
      <c r="F11" s="14" t="n">
        <v>2025</v>
      </c>
    </row>
    <row r="12">
      <c r="A12" s="4" t="inlineStr">
        <is>
          <t>Revenue</t>
        </is>
      </c>
      <c r="B12" s="6" t="n">
        <v>2089.132</v>
      </c>
      <c r="C12" s="6" t="n">
        <v>2802.882</v>
      </c>
      <c r="D12" s="6" t="n">
        <v>3534.647</v>
      </c>
      <c r="E12" s="6" t="n">
        <v>4358.603</v>
      </c>
      <c r="F12" s="6" t="n">
        <v>5215.304</v>
      </c>
    </row>
    <row r="13">
      <c r="A13" s="4" t="inlineStr">
        <is>
          <t>Revenue growth %</t>
        </is>
      </c>
      <c r="C13" s="5">
        <f>C12/B12-1</f>
        <v/>
      </c>
      <c r="D13" s="5">
        <f>D12/C12-1</f>
        <v/>
      </c>
      <c r="E13" s="5">
        <f>E12/D12-1</f>
        <v/>
      </c>
      <c r="F13" s="5">
        <f>F12/E12-1</f>
        <v/>
      </c>
    </row>
    <row r="14">
      <c r="A14" s="4" t="inlineStr">
        <is>
          <t>Free cash flow</t>
        </is>
      </c>
      <c r="B14" s="6" t="n">
        <v>758.4400000000001</v>
      </c>
      <c r="C14" s="6" t="n">
        <v>750.461</v>
      </c>
      <c r="D14" s="6" t="n">
        <v>842.299</v>
      </c>
      <c r="E14" s="6" t="n">
        <v>1415.047</v>
      </c>
      <c r="F14" s="6" t="n">
        <v>1415.543</v>
      </c>
    </row>
    <row r="15">
      <c r="A15" s="4" t="inlineStr">
        <is>
          <t>FCF margin %</t>
        </is>
      </c>
      <c r="B15" s="5">
        <f>B14/B12</f>
        <v/>
      </c>
      <c r="C15" s="5">
        <f>C14/C12</f>
        <v/>
      </c>
      <c r="D15" s="5">
        <f>D14/D12</f>
        <v/>
      </c>
      <c r="E15" s="5">
        <f>E14/E12</f>
        <v/>
      </c>
      <c r="F15" s="5">
        <f>F14/F12</f>
        <v/>
      </c>
    </row>
    <row r="17">
      <c r="A17" s="3" t="inlineStr">
        <is>
          <t>Balance Sheet Actuals — FY2025 ($ in millions)</t>
        </is>
      </c>
      <c r="B17" s="12" t="n"/>
      <c r="C17" s="12" t="n"/>
      <c r="D17" s="12" t="n"/>
      <c r="E17" s="12" t="n"/>
      <c r="F17" s="12" t="n"/>
      <c r="G17" s="12" t="n"/>
    </row>
    <row r="18">
      <c r="A18" s="4" t="inlineStr">
        <is>
          <t>Cash &amp; equivalents</t>
        </is>
      </c>
      <c r="B18" s="6" t="n">
        <v>2512.874</v>
      </c>
    </row>
    <row r="19">
      <c r="A19" s="4" t="inlineStr">
        <is>
          <t>Total debt</t>
        </is>
      </c>
      <c r="B19" s="6" t="n">
        <v>987.684</v>
      </c>
    </row>
    <row r="20">
      <c r="A20" s="4" t="inlineStr">
        <is>
          <t>Diluted shares outstanding (millions)</t>
        </is>
      </c>
      <c r="B20" s="6" t="n">
        <v>261.787</v>
      </c>
    </row>
    <row r="22">
      <c r="A22" s="3" t="inlineStr">
        <is>
          <t>5-Year Projection ($ in millions)</t>
        </is>
      </c>
      <c r="B22" s="12" t="n"/>
      <c r="C22" s="12" t="n"/>
      <c r="D22" s="12" t="n"/>
      <c r="E22" s="12" t="n"/>
      <c r="F22" s="12" t="n"/>
      <c r="G22" s="12" t="n"/>
    </row>
    <row r="23">
      <c r="A23" s="4" t="inlineStr">
        <is>
          <t>Fiscal year</t>
        </is>
      </c>
      <c r="B23" s="14" t="inlineStr">
        <is>
          <t>FY2026E</t>
        </is>
      </c>
      <c r="C23" s="14" t="inlineStr">
        <is>
          <t>FY2027E</t>
        </is>
      </c>
      <c r="D23" s="14" t="inlineStr">
        <is>
          <t>FY2028E</t>
        </is>
      </c>
      <c r="E23" s="14" t="inlineStr">
        <is>
          <t>FY2029E</t>
        </is>
      </c>
      <c r="F23" s="14" t="inlineStr">
        <is>
          <t>FY2030E</t>
        </is>
      </c>
    </row>
    <row r="24">
      <c r="A24" s="4" t="inlineStr">
        <is>
          <t>Revenue growth rate</t>
        </is>
      </c>
      <c r="B24" s="5">
        <f>$B$7+($B$6-$B$7)*1/5</f>
        <v/>
      </c>
      <c r="C24" s="5">
        <f>$B$7+($B$6-$B$7)*2/5</f>
        <v/>
      </c>
      <c r="D24" s="5">
        <f>$B$7+($B$6-$B$7)*3/5</f>
        <v/>
      </c>
      <c r="E24" s="5">
        <f>$B$7+($B$6-$B$7)*4/5</f>
        <v/>
      </c>
      <c r="F24" s="5">
        <f>$B$7+($B$6-$B$7)*5/5</f>
        <v/>
      </c>
    </row>
    <row r="25">
      <c r="A25" s="4" t="inlineStr">
        <is>
          <t>Projected revenue</t>
        </is>
      </c>
      <c r="B25" s="6">
        <f>F12*(1+B24)</f>
        <v/>
      </c>
      <c r="C25" s="6">
        <f>B25*(1+C24)</f>
        <v/>
      </c>
      <c r="D25" s="6">
        <f>C25*(1+D24)</f>
        <v/>
      </c>
      <c r="E25" s="6">
        <f>D25*(1+E24)</f>
        <v/>
      </c>
      <c r="F25" s="6">
        <f>E25*(1+F24)</f>
        <v/>
      </c>
    </row>
    <row r="26">
      <c r="A26" s="4" t="inlineStr">
        <is>
          <t>FCF margin (assumption, held flat)</t>
        </is>
      </c>
      <c r="B26" s="5">
        <f>$B$8</f>
        <v/>
      </c>
      <c r="C26" s="5">
        <f>$B$8</f>
        <v/>
      </c>
      <c r="D26" s="5">
        <f>$B$8</f>
        <v/>
      </c>
      <c r="E26" s="5">
        <f>$B$8</f>
        <v/>
      </c>
      <c r="F26" s="5">
        <f>$B$8</f>
        <v/>
      </c>
    </row>
    <row r="27">
      <c r="A27" s="4" t="inlineStr">
        <is>
          <t>Projected unlevered FCF</t>
        </is>
      </c>
      <c r="B27" s="6">
        <f>B25*B26</f>
        <v/>
      </c>
      <c r="C27" s="6">
        <f>C25*C26</f>
        <v/>
      </c>
      <c r="D27" s="6">
        <f>D25*D26</f>
        <v/>
      </c>
      <c r="E27" s="6">
        <f>E25*E26</f>
        <v/>
      </c>
      <c r="F27" s="6">
        <f>F25*F26</f>
        <v/>
      </c>
    </row>
    <row r="28">
      <c r="A28" s="4" t="inlineStr">
        <is>
          <t>Discount factor</t>
        </is>
      </c>
      <c r="B28" s="15">
        <f>1/(1+$B$5)^1</f>
        <v/>
      </c>
      <c r="C28" s="15">
        <f>1/(1+$B$5)^2</f>
        <v/>
      </c>
      <c r="D28" s="15">
        <f>1/(1+$B$5)^3</f>
        <v/>
      </c>
      <c r="E28" s="15">
        <f>1/(1+$B$5)^4</f>
        <v/>
      </c>
      <c r="F28" s="15">
        <f>1/(1+$B$5)^5</f>
        <v/>
      </c>
    </row>
    <row r="29">
      <c r="A29" s="4" t="inlineStr">
        <is>
          <t>PV of FCF</t>
        </is>
      </c>
      <c r="B29" s="6">
        <f>B27*B28</f>
        <v/>
      </c>
      <c r="C29" s="6">
        <f>C27*C28</f>
        <v/>
      </c>
      <c r="D29" s="6">
        <f>D27*D28</f>
        <v/>
      </c>
      <c r="E29" s="6">
        <f>E27*E28</f>
        <v/>
      </c>
      <c r="F29" s="6">
        <f>F27*F28</f>
        <v/>
      </c>
    </row>
    <row r="31">
      <c r="A31" s="3" t="inlineStr">
        <is>
          <t>Terminal Value &amp; Valuation</t>
        </is>
      </c>
      <c r="B31" s="12" t="n"/>
      <c r="C31" s="12" t="n"/>
      <c r="D31" s="12" t="n"/>
      <c r="E31" s="12" t="n"/>
      <c r="F31" s="12" t="n"/>
      <c r="G31" s="12" t="n"/>
    </row>
    <row r="32">
      <c r="A32" s="4" t="inlineStr">
        <is>
          <t>Terminal value (end of FY2030)</t>
        </is>
      </c>
      <c r="B32" s="6">
        <f>F27*(1+$B$6)/($B$5-$B$6)</f>
        <v/>
      </c>
    </row>
    <row r="33">
      <c r="A33" s="4" t="inlineStr">
        <is>
          <t>PV of terminal value</t>
        </is>
      </c>
      <c r="B33" s="6">
        <f>B32*F28</f>
        <v/>
      </c>
    </row>
    <row r="34">
      <c r="A34" s="4" t="inlineStr">
        <is>
          <t>Sum of PV of projected FCFs</t>
        </is>
      </c>
      <c r="B34" s="6">
        <f>SUM(B29:F29)</f>
        <v/>
      </c>
    </row>
    <row r="35">
      <c r="A35" s="4" t="inlineStr">
        <is>
          <t>Enterprise value</t>
        </is>
      </c>
      <c r="B35" s="16">
        <f>B33+B34</f>
        <v/>
      </c>
    </row>
    <row r="36">
      <c r="A36" s="4" t="inlineStr">
        <is>
          <t>Less: total debt</t>
        </is>
      </c>
      <c r="B36" s="6">
        <f>-B19</f>
        <v/>
      </c>
    </row>
    <row r="37">
      <c r="A37" s="4" t="inlineStr">
        <is>
          <t>Plus: cash &amp; equivalents</t>
        </is>
      </c>
      <c r="B37" s="6">
        <f>B18</f>
        <v/>
      </c>
    </row>
    <row r="38">
      <c r="A38" s="4" t="inlineStr">
        <is>
          <t>Equity value</t>
        </is>
      </c>
      <c r="B38" s="16">
        <f>B35+B36+B37</f>
        <v/>
      </c>
    </row>
    <row r="39">
      <c r="A39" s="4" t="inlineStr">
        <is>
          <t>Diluted shares outstanding (millions)</t>
        </is>
      </c>
      <c r="B39" s="6">
        <f>B20</f>
        <v/>
      </c>
    </row>
    <row r="40">
      <c r="A40" s="4" t="inlineStr">
        <is>
          <t>Implied value per share</t>
        </is>
      </c>
      <c r="B40" s="7">
        <f>B38/B39</f>
        <v/>
      </c>
    </row>
    <row r="42">
      <c r="A42" s="3" t="inlineStr">
        <is>
          <t>Sensitivity: Implied Value/Share (WACC x Terminal Growth)</t>
        </is>
      </c>
      <c r="B42" s="12" t="n"/>
      <c r="C42" s="12" t="n"/>
      <c r="D42" s="12" t="n"/>
      <c r="E42" s="12" t="n"/>
      <c r="F42" s="12" t="n"/>
      <c r="G42" s="12" t="n"/>
    </row>
    <row r="43">
      <c r="B43" s="17" t="inlineStr">
        <is>
          <t>WACC \ Term. g</t>
        </is>
      </c>
      <c r="C43" s="18" t="n">
        <v>0.02</v>
      </c>
      <c r="D43" s="18" t="n">
        <v>0.025</v>
      </c>
      <c r="E43" s="18" t="n">
        <v>0.03</v>
      </c>
      <c r="F43" s="18" t="n">
        <v>0.035</v>
      </c>
      <c r="G43" s="18" t="n">
        <v>0.04</v>
      </c>
    </row>
    <row r="44">
      <c r="B44" s="19" t="n">
        <v>0.08</v>
      </c>
      <c r="C44" s="20">
        <f>((((($F$12*(1+($B$7+(C$43-$B$7)*1/5)))*$B$8)/(1+$B$44)^1)+((($F$12*(1+($B$7+(C$43-$B$7)*1/5))*(1+($B$7+(C$43-$B$7)*2/5)))*$B$8)/(1+$B$44)^2)+((($F$12*(1+($B$7+(C$43-$B$7)*1/5))*(1+($B$7+(C$43-$B$7)*2/5))*(1+($B$7+(C$43-$B$7)*3/5)))*$B$8)/(1+$B$44)^3)+((($F$12*(1+($B$7+(C$43-$B$7)*1/5))*(1+($B$7+(C$43-$B$7)*2/5))*(1+($B$7+(C$43-$B$7)*3/5))*(1+($B$7+(C$43-$B$7)*4/5)))*$B$8)/(1+$B$44)^4)+((($F$12*(1+($B$7+(C$43-$B$7)*1/5))*(1+($B$7+(C$43-$B$7)*2/5))*(1+($B$7+(C$43-$B$7)*3/5))*(1+($B$7+(C$43-$B$7)*4/5))*(1+($B$7+(C$43-$B$7)*5/5)))*$B$8)/(1+$B$44)^5)+((((($F$12*(1+($B$7+(C$43-$B$7)*1/5))*(1+($B$7+(C$43-$B$7)*2/5))*(1+($B$7+(C$43-$B$7)*3/5))*(1+($B$7+(C$43-$B$7)*4/5))*(1+($B$7+(C$43-$B$7)*5/5)))*$B$8)*(1+C$43))/($B$44-C$43))/(1+$B$44)^5))-$B$19+$B$18)/$B$20</f>
        <v/>
      </c>
      <c r="D44" s="20">
        <f>((((($F$12*(1+($B$7+(D$43-$B$7)*1/5)))*$B$8)/(1+$B$44)^1)+((($F$12*(1+($B$7+(D$43-$B$7)*1/5))*(1+($B$7+(D$43-$B$7)*2/5)))*$B$8)/(1+$B$44)^2)+((($F$12*(1+($B$7+(D$43-$B$7)*1/5))*(1+($B$7+(D$43-$B$7)*2/5))*(1+($B$7+(D$43-$B$7)*3/5)))*$B$8)/(1+$B$44)^3)+((($F$12*(1+($B$7+(D$43-$B$7)*1/5))*(1+($B$7+(D$43-$B$7)*2/5))*(1+($B$7+(D$43-$B$7)*3/5))*(1+($B$7+(D$43-$B$7)*4/5)))*$B$8)/(1+$B$44)^4)+((($F$12*(1+($B$7+(D$43-$B$7)*1/5))*(1+($B$7+(D$43-$B$7)*2/5))*(1+($B$7+(D$43-$B$7)*3/5))*(1+($B$7+(D$43-$B$7)*4/5))*(1+($B$7+(D$43-$B$7)*5/5)))*$B$8)/(1+$B$44)^5)+((((($F$12*(1+($B$7+(D$43-$B$7)*1/5))*(1+($B$7+(D$43-$B$7)*2/5))*(1+($B$7+(D$43-$B$7)*3/5))*(1+($B$7+(D$43-$B$7)*4/5))*(1+($B$7+(D$43-$B$7)*5/5)))*$B$8)*(1+D$43))/($B$44-D$43))/(1+$B$44)^5))-$B$19+$B$18)/$B$20</f>
        <v/>
      </c>
      <c r="E44" s="20">
        <f>((((($F$12*(1+($B$7+(E$43-$B$7)*1/5)))*$B$8)/(1+$B$44)^1)+((($F$12*(1+($B$7+(E$43-$B$7)*1/5))*(1+($B$7+(E$43-$B$7)*2/5)))*$B$8)/(1+$B$44)^2)+((($F$12*(1+($B$7+(E$43-$B$7)*1/5))*(1+($B$7+(E$43-$B$7)*2/5))*(1+($B$7+(E$43-$B$7)*3/5)))*$B$8)/(1+$B$44)^3)+((($F$12*(1+($B$7+(E$43-$B$7)*1/5))*(1+($B$7+(E$43-$B$7)*2/5))*(1+($B$7+(E$43-$B$7)*3/5))*(1+($B$7+(E$43-$B$7)*4/5)))*$B$8)/(1+$B$44)^4)+((($F$12*(1+($B$7+(E$43-$B$7)*1/5))*(1+($B$7+(E$43-$B$7)*2/5))*(1+($B$7+(E$43-$B$7)*3/5))*(1+($B$7+(E$43-$B$7)*4/5))*(1+($B$7+(E$43-$B$7)*5/5)))*$B$8)/(1+$B$44)^5)+((((($F$12*(1+($B$7+(E$43-$B$7)*1/5))*(1+($B$7+(E$43-$B$7)*2/5))*(1+($B$7+(E$43-$B$7)*3/5))*(1+($B$7+(E$43-$B$7)*4/5))*(1+($B$7+(E$43-$B$7)*5/5)))*$B$8)*(1+E$43))/($B$44-E$43))/(1+$B$44)^5))-$B$19+$B$18)/$B$20</f>
        <v/>
      </c>
      <c r="F44" s="20">
        <f>((((($F$12*(1+($B$7+(F$43-$B$7)*1/5)))*$B$8)/(1+$B$44)^1)+((($F$12*(1+($B$7+(F$43-$B$7)*1/5))*(1+($B$7+(F$43-$B$7)*2/5)))*$B$8)/(1+$B$44)^2)+((($F$12*(1+($B$7+(F$43-$B$7)*1/5))*(1+($B$7+(F$43-$B$7)*2/5))*(1+($B$7+(F$43-$B$7)*3/5)))*$B$8)/(1+$B$44)^3)+((($F$12*(1+($B$7+(F$43-$B$7)*1/5))*(1+($B$7+(F$43-$B$7)*2/5))*(1+($B$7+(F$43-$B$7)*3/5))*(1+($B$7+(F$43-$B$7)*4/5)))*$B$8)/(1+$B$44)^4)+((($F$12*(1+($B$7+(F$43-$B$7)*1/5))*(1+($B$7+(F$43-$B$7)*2/5))*(1+($B$7+(F$43-$B$7)*3/5))*(1+($B$7+(F$43-$B$7)*4/5))*(1+($B$7+(F$43-$B$7)*5/5)))*$B$8)/(1+$B$44)^5)+((((($F$12*(1+($B$7+(F$43-$B$7)*1/5))*(1+($B$7+(F$43-$B$7)*2/5))*(1+($B$7+(F$43-$B$7)*3/5))*(1+($B$7+(F$43-$B$7)*4/5))*(1+($B$7+(F$43-$B$7)*5/5)))*$B$8)*(1+F$43))/($B$44-F$43))/(1+$B$44)^5))-$B$19+$B$18)/$B$20</f>
        <v/>
      </c>
      <c r="G44" s="20">
        <f>((((($F$12*(1+($B$7+(G$43-$B$7)*1/5)))*$B$8)/(1+$B$44)^1)+((($F$12*(1+($B$7+(G$43-$B$7)*1/5))*(1+($B$7+(G$43-$B$7)*2/5)))*$B$8)/(1+$B$44)^2)+((($F$12*(1+($B$7+(G$43-$B$7)*1/5))*(1+($B$7+(G$43-$B$7)*2/5))*(1+($B$7+(G$43-$B$7)*3/5)))*$B$8)/(1+$B$44)^3)+((($F$12*(1+($B$7+(G$43-$B$7)*1/5))*(1+($B$7+(G$43-$B$7)*2/5))*(1+($B$7+(G$43-$B$7)*3/5))*(1+($B$7+(G$43-$B$7)*4/5)))*$B$8)/(1+$B$44)^4)+((($F$12*(1+($B$7+(G$43-$B$7)*1/5))*(1+($B$7+(G$43-$B$7)*2/5))*(1+($B$7+(G$43-$B$7)*3/5))*(1+($B$7+(G$43-$B$7)*4/5))*(1+($B$7+(G$43-$B$7)*5/5)))*$B$8)/(1+$B$44)^5)+((((($F$12*(1+($B$7+(G$43-$B$7)*1/5))*(1+($B$7+(G$43-$B$7)*2/5))*(1+($B$7+(G$43-$B$7)*3/5))*(1+($B$7+(G$43-$B$7)*4/5))*(1+($B$7+(G$43-$B$7)*5/5)))*$B$8)*(1+G$43))/($B$44-G$43))/(1+$B$44)^5))-$B$19+$B$18)/$B$20</f>
        <v/>
      </c>
    </row>
    <row r="45">
      <c r="B45" s="19" t="n">
        <v>0.09</v>
      </c>
      <c r="C45" s="20">
        <f>((((($F$12*(1+($B$7+(C$43-$B$7)*1/5)))*$B$8)/(1+$B$45)^1)+((($F$12*(1+($B$7+(C$43-$B$7)*1/5))*(1+($B$7+(C$43-$B$7)*2/5)))*$B$8)/(1+$B$45)^2)+((($F$12*(1+($B$7+(C$43-$B$7)*1/5))*(1+($B$7+(C$43-$B$7)*2/5))*(1+($B$7+(C$43-$B$7)*3/5)))*$B$8)/(1+$B$45)^3)+((($F$12*(1+($B$7+(C$43-$B$7)*1/5))*(1+($B$7+(C$43-$B$7)*2/5))*(1+($B$7+(C$43-$B$7)*3/5))*(1+($B$7+(C$43-$B$7)*4/5)))*$B$8)/(1+$B$45)^4)+((($F$12*(1+($B$7+(C$43-$B$7)*1/5))*(1+($B$7+(C$43-$B$7)*2/5))*(1+($B$7+(C$43-$B$7)*3/5))*(1+($B$7+(C$43-$B$7)*4/5))*(1+($B$7+(C$43-$B$7)*5/5)))*$B$8)/(1+$B$45)^5)+((((($F$12*(1+($B$7+(C$43-$B$7)*1/5))*(1+($B$7+(C$43-$B$7)*2/5))*(1+($B$7+(C$43-$B$7)*3/5))*(1+($B$7+(C$43-$B$7)*4/5))*(1+($B$7+(C$43-$B$7)*5/5)))*$B$8)*(1+C$43))/($B$45-C$43))/(1+$B$45)^5))-$B$19+$B$18)/$B$20</f>
        <v/>
      </c>
      <c r="D45" s="20">
        <f>((((($F$12*(1+($B$7+(D$43-$B$7)*1/5)))*$B$8)/(1+$B$45)^1)+((($F$12*(1+($B$7+(D$43-$B$7)*1/5))*(1+($B$7+(D$43-$B$7)*2/5)))*$B$8)/(1+$B$45)^2)+((($F$12*(1+($B$7+(D$43-$B$7)*1/5))*(1+($B$7+(D$43-$B$7)*2/5))*(1+($B$7+(D$43-$B$7)*3/5)))*$B$8)/(1+$B$45)^3)+((($F$12*(1+($B$7+(D$43-$B$7)*1/5))*(1+($B$7+(D$43-$B$7)*2/5))*(1+($B$7+(D$43-$B$7)*3/5))*(1+($B$7+(D$43-$B$7)*4/5)))*$B$8)/(1+$B$45)^4)+((($F$12*(1+($B$7+(D$43-$B$7)*1/5))*(1+($B$7+(D$43-$B$7)*2/5))*(1+($B$7+(D$43-$B$7)*3/5))*(1+($B$7+(D$43-$B$7)*4/5))*(1+($B$7+(D$43-$B$7)*5/5)))*$B$8)/(1+$B$45)^5)+((((($F$12*(1+($B$7+(D$43-$B$7)*1/5))*(1+($B$7+(D$43-$B$7)*2/5))*(1+($B$7+(D$43-$B$7)*3/5))*(1+($B$7+(D$43-$B$7)*4/5))*(1+($B$7+(D$43-$B$7)*5/5)))*$B$8)*(1+D$43))/($B$45-D$43))/(1+$B$45)^5))-$B$19+$B$18)/$B$20</f>
        <v/>
      </c>
      <c r="E45" s="20">
        <f>((((($F$12*(1+($B$7+(E$43-$B$7)*1/5)))*$B$8)/(1+$B$45)^1)+((($F$12*(1+($B$7+(E$43-$B$7)*1/5))*(1+($B$7+(E$43-$B$7)*2/5)))*$B$8)/(1+$B$45)^2)+((($F$12*(1+($B$7+(E$43-$B$7)*1/5))*(1+($B$7+(E$43-$B$7)*2/5))*(1+($B$7+(E$43-$B$7)*3/5)))*$B$8)/(1+$B$45)^3)+((($F$12*(1+($B$7+(E$43-$B$7)*1/5))*(1+($B$7+(E$43-$B$7)*2/5))*(1+($B$7+(E$43-$B$7)*3/5))*(1+($B$7+(E$43-$B$7)*4/5)))*$B$8)/(1+$B$45)^4)+((($F$12*(1+($B$7+(E$43-$B$7)*1/5))*(1+($B$7+(E$43-$B$7)*2/5))*(1+($B$7+(E$43-$B$7)*3/5))*(1+($B$7+(E$43-$B$7)*4/5))*(1+($B$7+(E$43-$B$7)*5/5)))*$B$8)/(1+$B$45)^5)+((((($F$12*(1+($B$7+(E$43-$B$7)*1/5))*(1+($B$7+(E$43-$B$7)*2/5))*(1+($B$7+(E$43-$B$7)*3/5))*(1+($B$7+(E$43-$B$7)*4/5))*(1+($B$7+(E$43-$B$7)*5/5)))*$B$8)*(1+E$43))/($B$45-E$43))/(1+$B$45)^5))-$B$19+$B$18)/$B$20</f>
        <v/>
      </c>
      <c r="F45" s="20">
        <f>((((($F$12*(1+($B$7+(F$43-$B$7)*1/5)))*$B$8)/(1+$B$45)^1)+((($F$12*(1+($B$7+(F$43-$B$7)*1/5))*(1+($B$7+(F$43-$B$7)*2/5)))*$B$8)/(1+$B$45)^2)+((($F$12*(1+($B$7+(F$43-$B$7)*1/5))*(1+($B$7+(F$43-$B$7)*2/5))*(1+($B$7+(F$43-$B$7)*3/5)))*$B$8)/(1+$B$45)^3)+((($F$12*(1+($B$7+(F$43-$B$7)*1/5))*(1+($B$7+(F$43-$B$7)*2/5))*(1+($B$7+(F$43-$B$7)*3/5))*(1+($B$7+(F$43-$B$7)*4/5)))*$B$8)/(1+$B$45)^4)+((($F$12*(1+($B$7+(F$43-$B$7)*1/5))*(1+($B$7+(F$43-$B$7)*2/5))*(1+($B$7+(F$43-$B$7)*3/5))*(1+($B$7+(F$43-$B$7)*4/5))*(1+($B$7+(F$43-$B$7)*5/5)))*$B$8)/(1+$B$45)^5)+((((($F$12*(1+($B$7+(F$43-$B$7)*1/5))*(1+($B$7+(F$43-$B$7)*2/5))*(1+($B$7+(F$43-$B$7)*3/5))*(1+($B$7+(F$43-$B$7)*4/5))*(1+($B$7+(F$43-$B$7)*5/5)))*$B$8)*(1+F$43))/($B$45-F$43))/(1+$B$45)^5))-$B$19+$B$18)/$B$20</f>
        <v/>
      </c>
      <c r="G45" s="20">
        <f>((((($F$12*(1+($B$7+(G$43-$B$7)*1/5)))*$B$8)/(1+$B$45)^1)+((($F$12*(1+($B$7+(G$43-$B$7)*1/5))*(1+($B$7+(G$43-$B$7)*2/5)))*$B$8)/(1+$B$45)^2)+((($F$12*(1+($B$7+(G$43-$B$7)*1/5))*(1+($B$7+(G$43-$B$7)*2/5))*(1+($B$7+(G$43-$B$7)*3/5)))*$B$8)/(1+$B$45)^3)+((($F$12*(1+($B$7+(G$43-$B$7)*1/5))*(1+($B$7+(G$43-$B$7)*2/5))*(1+($B$7+(G$43-$B$7)*3/5))*(1+($B$7+(G$43-$B$7)*4/5)))*$B$8)/(1+$B$45)^4)+((($F$12*(1+($B$7+(G$43-$B$7)*1/5))*(1+($B$7+(G$43-$B$7)*2/5))*(1+($B$7+(G$43-$B$7)*3/5))*(1+($B$7+(G$43-$B$7)*4/5))*(1+($B$7+(G$43-$B$7)*5/5)))*$B$8)/(1+$B$45)^5)+((((($F$12*(1+($B$7+(G$43-$B$7)*1/5))*(1+($B$7+(G$43-$B$7)*2/5))*(1+($B$7+(G$43-$B$7)*3/5))*(1+($B$7+(G$43-$B$7)*4/5))*(1+($B$7+(G$43-$B$7)*5/5)))*$B$8)*(1+G$43))/($B$45-G$43))/(1+$B$45)^5))-$B$19+$B$18)/$B$20</f>
        <v/>
      </c>
    </row>
    <row r="46">
      <c r="B46" s="19" t="n">
        <v>0.1</v>
      </c>
      <c r="C46" s="20">
        <f>((((($F$12*(1+($B$7+(C$43-$B$7)*1/5)))*$B$8)/(1+$B$46)^1)+((($F$12*(1+($B$7+(C$43-$B$7)*1/5))*(1+($B$7+(C$43-$B$7)*2/5)))*$B$8)/(1+$B$46)^2)+((($F$12*(1+($B$7+(C$43-$B$7)*1/5))*(1+($B$7+(C$43-$B$7)*2/5))*(1+($B$7+(C$43-$B$7)*3/5)))*$B$8)/(1+$B$46)^3)+((($F$12*(1+($B$7+(C$43-$B$7)*1/5))*(1+($B$7+(C$43-$B$7)*2/5))*(1+($B$7+(C$43-$B$7)*3/5))*(1+($B$7+(C$43-$B$7)*4/5)))*$B$8)/(1+$B$46)^4)+((($F$12*(1+($B$7+(C$43-$B$7)*1/5))*(1+($B$7+(C$43-$B$7)*2/5))*(1+($B$7+(C$43-$B$7)*3/5))*(1+($B$7+(C$43-$B$7)*4/5))*(1+($B$7+(C$43-$B$7)*5/5)))*$B$8)/(1+$B$46)^5)+((((($F$12*(1+($B$7+(C$43-$B$7)*1/5))*(1+($B$7+(C$43-$B$7)*2/5))*(1+($B$7+(C$43-$B$7)*3/5))*(1+($B$7+(C$43-$B$7)*4/5))*(1+($B$7+(C$43-$B$7)*5/5)))*$B$8)*(1+C$43))/($B$46-C$43))/(1+$B$46)^5))-$B$19+$B$18)/$B$20</f>
        <v/>
      </c>
      <c r="D46" s="20">
        <f>((((($F$12*(1+($B$7+(D$43-$B$7)*1/5)))*$B$8)/(1+$B$46)^1)+((($F$12*(1+($B$7+(D$43-$B$7)*1/5))*(1+($B$7+(D$43-$B$7)*2/5)))*$B$8)/(1+$B$46)^2)+((($F$12*(1+($B$7+(D$43-$B$7)*1/5))*(1+($B$7+(D$43-$B$7)*2/5))*(1+($B$7+(D$43-$B$7)*3/5)))*$B$8)/(1+$B$46)^3)+((($F$12*(1+($B$7+(D$43-$B$7)*1/5))*(1+($B$7+(D$43-$B$7)*2/5))*(1+($B$7+(D$43-$B$7)*3/5))*(1+($B$7+(D$43-$B$7)*4/5)))*$B$8)/(1+$B$46)^4)+((($F$12*(1+($B$7+(D$43-$B$7)*1/5))*(1+($B$7+(D$43-$B$7)*2/5))*(1+($B$7+(D$43-$B$7)*3/5))*(1+($B$7+(D$43-$B$7)*4/5))*(1+($B$7+(D$43-$B$7)*5/5)))*$B$8)/(1+$B$46)^5)+((((($F$12*(1+($B$7+(D$43-$B$7)*1/5))*(1+($B$7+(D$43-$B$7)*2/5))*(1+($B$7+(D$43-$B$7)*3/5))*(1+($B$7+(D$43-$B$7)*4/5))*(1+($B$7+(D$43-$B$7)*5/5)))*$B$8)*(1+D$43))/($B$46-D$43))/(1+$B$46)^5))-$B$19+$B$18)/$B$20</f>
        <v/>
      </c>
      <c r="E46" s="20">
        <f>((((($F$12*(1+($B$7+(E$43-$B$7)*1/5)))*$B$8)/(1+$B$46)^1)+((($F$12*(1+($B$7+(E$43-$B$7)*1/5))*(1+($B$7+(E$43-$B$7)*2/5)))*$B$8)/(1+$B$46)^2)+((($F$12*(1+($B$7+(E$43-$B$7)*1/5))*(1+($B$7+(E$43-$B$7)*2/5))*(1+($B$7+(E$43-$B$7)*3/5)))*$B$8)/(1+$B$46)^3)+((($F$12*(1+($B$7+(E$43-$B$7)*1/5))*(1+($B$7+(E$43-$B$7)*2/5))*(1+($B$7+(E$43-$B$7)*3/5))*(1+($B$7+(E$43-$B$7)*4/5)))*$B$8)/(1+$B$46)^4)+((($F$12*(1+($B$7+(E$43-$B$7)*1/5))*(1+($B$7+(E$43-$B$7)*2/5))*(1+($B$7+(E$43-$B$7)*3/5))*(1+($B$7+(E$43-$B$7)*4/5))*(1+($B$7+(E$43-$B$7)*5/5)))*$B$8)/(1+$B$46)^5)+((((($F$12*(1+($B$7+(E$43-$B$7)*1/5))*(1+($B$7+(E$43-$B$7)*2/5))*(1+($B$7+(E$43-$B$7)*3/5))*(1+($B$7+(E$43-$B$7)*4/5))*(1+($B$7+(E$43-$B$7)*5/5)))*$B$8)*(1+E$43))/($B$46-E$43))/(1+$B$46)^5))-$B$19+$B$18)/$B$20</f>
        <v/>
      </c>
      <c r="F46" s="20">
        <f>((((($F$12*(1+($B$7+(F$43-$B$7)*1/5)))*$B$8)/(1+$B$46)^1)+((($F$12*(1+($B$7+(F$43-$B$7)*1/5))*(1+($B$7+(F$43-$B$7)*2/5)))*$B$8)/(1+$B$46)^2)+((($F$12*(1+($B$7+(F$43-$B$7)*1/5))*(1+($B$7+(F$43-$B$7)*2/5))*(1+($B$7+(F$43-$B$7)*3/5)))*$B$8)/(1+$B$46)^3)+((($F$12*(1+($B$7+(F$43-$B$7)*1/5))*(1+($B$7+(F$43-$B$7)*2/5))*(1+($B$7+(F$43-$B$7)*3/5))*(1+($B$7+(F$43-$B$7)*4/5)))*$B$8)/(1+$B$46)^4)+((($F$12*(1+($B$7+(F$43-$B$7)*1/5))*(1+($B$7+(F$43-$B$7)*2/5))*(1+($B$7+(F$43-$B$7)*3/5))*(1+($B$7+(F$43-$B$7)*4/5))*(1+($B$7+(F$43-$B$7)*5/5)))*$B$8)/(1+$B$46)^5)+((((($F$12*(1+($B$7+(F$43-$B$7)*1/5))*(1+($B$7+(F$43-$B$7)*2/5))*(1+($B$7+(F$43-$B$7)*3/5))*(1+($B$7+(F$43-$B$7)*4/5))*(1+($B$7+(F$43-$B$7)*5/5)))*$B$8)*(1+F$43))/($B$46-F$43))/(1+$B$46)^5))-$B$19+$B$18)/$B$20</f>
        <v/>
      </c>
      <c r="G46" s="20">
        <f>((((($F$12*(1+($B$7+(G$43-$B$7)*1/5)))*$B$8)/(1+$B$46)^1)+((($F$12*(1+($B$7+(G$43-$B$7)*1/5))*(1+($B$7+(G$43-$B$7)*2/5)))*$B$8)/(1+$B$46)^2)+((($F$12*(1+($B$7+(G$43-$B$7)*1/5))*(1+($B$7+(G$43-$B$7)*2/5))*(1+($B$7+(G$43-$B$7)*3/5)))*$B$8)/(1+$B$46)^3)+((($F$12*(1+($B$7+(G$43-$B$7)*1/5))*(1+($B$7+(G$43-$B$7)*2/5))*(1+($B$7+(G$43-$B$7)*3/5))*(1+($B$7+(G$43-$B$7)*4/5)))*$B$8)/(1+$B$46)^4)+((($F$12*(1+($B$7+(G$43-$B$7)*1/5))*(1+($B$7+(G$43-$B$7)*2/5))*(1+($B$7+(G$43-$B$7)*3/5))*(1+($B$7+(G$43-$B$7)*4/5))*(1+($B$7+(G$43-$B$7)*5/5)))*$B$8)/(1+$B$46)^5)+((((($F$12*(1+($B$7+(G$43-$B$7)*1/5))*(1+($B$7+(G$43-$B$7)*2/5))*(1+($B$7+(G$43-$B$7)*3/5))*(1+($B$7+(G$43-$B$7)*4/5))*(1+($B$7+(G$43-$B$7)*5/5)))*$B$8)*(1+G$43))/($B$46-G$43))/(1+$B$46)^5))-$B$19+$B$18)/$B$20</f>
        <v/>
      </c>
    </row>
    <row r="47">
      <c r="B47" s="19" t="n">
        <v>0.11</v>
      </c>
      <c r="C47" s="20">
        <f>((((($F$12*(1+($B$7+(C$43-$B$7)*1/5)))*$B$8)/(1+$B$47)^1)+((($F$12*(1+($B$7+(C$43-$B$7)*1/5))*(1+($B$7+(C$43-$B$7)*2/5)))*$B$8)/(1+$B$47)^2)+((($F$12*(1+($B$7+(C$43-$B$7)*1/5))*(1+($B$7+(C$43-$B$7)*2/5))*(1+($B$7+(C$43-$B$7)*3/5)))*$B$8)/(1+$B$47)^3)+((($F$12*(1+($B$7+(C$43-$B$7)*1/5))*(1+($B$7+(C$43-$B$7)*2/5))*(1+($B$7+(C$43-$B$7)*3/5))*(1+($B$7+(C$43-$B$7)*4/5)))*$B$8)/(1+$B$47)^4)+((($F$12*(1+($B$7+(C$43-$B$7)*1/5))*(1+($B$7+(C$43-$B$7)*2/5))*(1+($B$7+(C$43-$B$7)*3/5))*(1+($B$7+(C$43-$B$7)*4/5))*(1+($B$7+(C$43-$B$7)*5/5)))*$B$8)/(1+$B$47)^5)+((((($F$12*(1+($B$7+(C$43-$B$7)*1/5))*(1+($B$7+(C$43-$B$7)*2/5))*(1+($B$7+(C$43-$B$7)*3/5))*(1+($B$7+(C$43-$B$7)*4/5))*(1+($B$7+(C$43-$B$7)*5/5)))*$B$8)*(1+C$43))/($B$47-C$43))/(1+$B$47)^5))-$B$19+$B$18)/$B$20</f>
        <v/>
      </c>
      <c r="D47" s="20">
        <f>((((($F$12*(1+($B$7+(D$43-$B$7)*1/5)))*$B$8)/(1+$B$47)^1)+((($F$12*(1+($B$7+(D$43-$B$7)*1/5))*(1+($B$7+(D$43-$B$7)*2/5)))*$B$8)/(1+$B$47)^2)+((($F$12*(1+($B$7+(D$43-$B$7)*1/5))*(1+($B$7+(D$43-$B$7)*2/5))*(1+($B$7+(D$43-$B$7)*3/5)))*$B$8)/(1+$B$47)^3)+((($F$12*(1+($B$7+(D$43-$B$7)*1/5))*(1+($B$7+(D$43-$B$7)*2/5))*(1+($B$7+(D$43-$B$7)*3/5))*(1+($B$7+(D$43-$B$7)*4/5)))*$B$8)/(1+$B$47)^4)+((($F$12*(1+($B$7+(D$43-$B$7)*1/5))*(1+($B$7+(D$43-$B$7)*2/5))*(1+($B$7+(D$43-$B$7)*3/5))*(1+($B$7+(D$43-$B$7)*4/5))*(1+($B$7+(D$43-$B$7)*5/5)))*$B$8)/(1+$B$47)^5)+((((($F$12*(1+($B$7+(D$43-$B$7)*1/5))*(1+($B$7+(D$43-$B$7)*2/5))*(1+($B$7+(D$43-$B$7)*3/5))*(1+($B$7+(D$43-$B$7)*4/5))*(1+($B$7+(D$43-$B$7)*5/5)))*$B$8)*(1+D$43))/($B$47-D$43))/(1+$B$47)^5))-$B$19+$B$18)/$B$20</f>
        <v/>
      </c>
      <c r="E47" s="20">
        <f>((((($F$12*(1+($B$7+(E$43-$B$7)*1/5)))*$B$8)/(1+$B$47)^1)+((($F$12*(1+($B$7+(E$43-$B$7)*1/5))*(1+($B$7+(E$43-$B$7)*2/5)))*$B$8)/(1+$B$47)^2)+((($F$12*(1+($B$7+(E$43-$B$7)*1/5))*(1+($B$7+(E$43-$B$7)*2/5))*(1+($B$7+(E$43-$B$7)*3/5)))*$B$8)/(1+$B$47)^3)+((($F$12*(1+($B$7+(E$43-$B$7)*1/5))*(1+($B$7+(E$43-$B$7)*2/5))*(1+($B$7+(E$43-$B$7)*3/5))*(1+($B$7+(E$43-$B$7)*4/5)))*$B$8)/(1+$B$47)^4)+((($F$12*(1+($B$7+(E$43-$B$7)*1/5))*(1+($B$7+(E$43-$B$7)*2/5))*(1+($B$7+(E$43-$B$7)*3/5))*(1+($B$7+(E$43-$B$7)*4/5))*(1+($B$7+(E$43-$B$7)*5/5)))*$B$8)/(1+$B$47)^5)+((((($F$12*(1+($B$7+(E$43-$B$7)*1/5))*(1+($B$7+(E$43-$B$7)*2/5))*(1+($B$7+(E$43-$B$7)*3/5))*(1+($B$7+(E$43-$B$7)*4/5))*(1+($B$7+(E$43-$B$7)*5/5)))*$B$8)*(1+E$43))/($B$47-E$43))/(1+$B$47)^5))-$B$19+$B$18)/$B$20</f>
        <v/>
      </c>
      <c r="F47" s="20">
        <f>((((($F$12*(1+($B$7+(F$43-$B$7)*1/5)))*$B$8)/(1+$B$47)^1)+((($F$12*(1+($B$7+(F$43-$B$7)*1/5))*(1+($B$7+(F$43-$B$7)*2/5)))*$B$8)/(1+$B$47)^2)+((($F$12*(1+($B$7+(F$43-$B$7)*1/5))*(1+($B$7+(F$43-$B$7)*2/5))*(1+($B$7+(F$43-$B$7)*3/5)))*$B$8)/(1+$B$47)^3)+((($F$12*(1+($B$7+(F$43-$B$7)*1/5))*(1+($B$7+(F$43-$B$7)*2/5))*(1+($B$7+(F$43-$B$7)*3/5))*(1+($B$7+(F$43-$B$7)*4/5)))*$B$8)/(1+$B$47)^4)+((($F$12*(1+($B$7+(F$43-$B$7)*1/5))*(1+($B$7+(F$43-$B$7)*2/5))*(1+($B$7+(F$43-$B$7)*3/5))*(1+($B$7+(F$43-$B$7)*4/5))*(1+($B$7+(F$43-$B$7)*5/5)))*$B$8)/(1+$B$47)^5)+((((($F$12*(1+($B$7+(F$43-$B$7)*1/5))*(1+($B$7+(F$43-$B$7)*2/5))*(1+($B$7+(F$43-$B$7)*3/5))*(1+($B$7+(F$43-$B$7)*4/5))*(1+($B$7+(F$43-$B$7)*5/5)))*$B$8)*(1+F$43))/($B$47-F$43))/(1+$B$47)^5))-$B$19+$B$18)/$B$20</f>
        <v/>
      </c>
      <c r="G47" s="20">
        <f>((((($F$12*(1+($B$7+(G$43-$B$7)*1/5)))*$B$8)/(1+$B$47)^1)+((($F$12*(1+($B$7+(G$43-$B$7)*1/5))*(1+($B$7+(G$43-$B$7)*2/5)))*$B$8)/(1+$B$47)^2)+((($F$12*(1+($B$7+(G$43-$B$7)*1/5))*(1+($B$7+(G$43-$B$7)*2/5))*(1+($B$7+(G$43-$B$7)*3/5)))*$B$8)/(1+$B$47)^3)+((($F$12*(1+($B$7+(G$43-$B$7)*1/5))*(1+($B$7+(G$43-$B$7)*2/5))*(1+($B$7+(G$43-$B$7)*3/5))*(1+($B$7+(G$43-$B$7)*4/5)))*$B$8)/(1+$B$47)^4)+((($F$12*(1+($B$7+(G$43-$B$7)*1/5))*(1+($B$7+(G$43-$B$7)*2/5))*(1+($B$7+(G$43-$B$7)*3/5))*(1+($B$7+(G$43-$B$7)*4/5))*(1+($B$7+(G$43-$B$7)*5/5)))*$B$8)/(1+$B$47)^5)+((((($F$12*(1+($B$7+(G$43-$B$7)*1/5))*(1+($B$7+(G$43-$B$7)*2/5))*(1+($B$7+(G$43-$B$7)*3/5))*(1+($B$7+(G$43-$B$7)*4/5))*(1+($B$7+(G$43-$B$7)*5/5)))*$B$8)*(1+G$43))/($B$47-G$43))/(1+$B$47)^5))-$B$19+$B$18)/$B$20</f>
        <v/>
      </c>
    </row>
    <row r="48">
      <c r="B48" s="19" t="n">
        <v>0.12</v>
      </c>
      <c r="C48" s="20">
        <f>((((($F$12*(1+($B$7+(C$43-$B$7)*1/5)))*$B$8)/(1+$B$48)^1)+((($F$12*(1+($B$7+(C$43-$B$7)*1/5))*(1+($B$7+(C$43-$B$7)*2/5)))*$B$8)/(1+$B$48)^2)+((($F$12*(1+($B$7+(C$43-$B$7)*1/5))*(1+($B$7+(C$43-$B$7)*2/5))*(1+($B$7+(C$43-$B$7)*3/5)))*$B$8)/(1+$B$48)^3)+((($F$12*(1+($B$7+(C$43-$B$7)*1/5))*(1+($B$7+(C$43-$B$7)*2/5))*(1+($B$7+(C$43-$B$7)*3/5))*(1+($B$7+(C$43-$B$7)*4/5)))*$B$8)/(1+$B$48)^4)+((($F$12*(1+($B$7+(C$43-$B$7)*1/5))*(1+($B$7+(C$43-$B$7)*2/5))*(1+($B$7+(C$43-$B$7)*3/5))*(1+($B$7+(C$43-$B$7)*4/5))*(1+($B$7+(C$43-$B$7)*5/5)))*$B$8)/(1+$B$48)^5)+((((($F$12*(1+($B$7+(C$43-$B$7)*1/5))*(1+($B$7+(C$43-$B$7)*2/5))*(1+($B$7+(C$43-$B$7)*3/5))*(1+($B$7+(C$43-$B$7)*4/5))*(1+($B$7+(C$43-$B$7)*5/5)))*$B$8)*(1+C$43))/($B$48-C$43))/(1+$B$48)^5))-$B$19+$B$18)/$B$20</f>
        <v/>
      </c>
      <c r="D48" s="20">
        <f>((((($F$12*(1+($B$7+(D$43-$B$7)*1/5)))*$B$8)/(1+$B$48)^1)+((($F$12*(1+($B$7+(D$43-$B$7)*1/5))*(1+($B$7+(D$43-$B$7)*2/5)))*$B$8)/(1+$B$48)^2)+((($F$12*(1+($B$7+(D$43-$B$7)*1/5))*(1+($B$7+(D$43-$B$7)*2/5))*(1+($B$7+(D$43-$B$7)*3/5)))*$B$8)/(1+$B$48)^3)+((($F$12*(1+($B$7+(D$43-$B$7)*1/5))*(1+($B$7+(D$43-$B$7)*2/5))*(1+($B$7+(D$43-$B$7)*3/5))*(1+($B$7+(D$43-$B$7)*4/5)))*$B$8)/(1+$B$48)^4)+((($F$12*(1+($B$7+(D$43-$B$7)*1/5))*(1+($B$7+(D$43-$B$7)*2/5))*(1+($B$7+(D$43-$B$7)*3/5))*(1+($B$7+(D$43-$B$7)*4/5))*(1+($B$7+(D$43-$B$7)*5/5)))*$B$8)/(1+$B$48)^5)+((((($F$12*(1+($B$7+(D$43-$B$7)*1/5))*(1+($B$7+(D$43-$B$7)*2/5))*(1+($B$7+(D$43-$B$7)*3/5))*(1+($B$7+(D$43-$B$7)*4/5))*(1+($B$7+(D$43-$B$7)*5/5)))*$B$8)*(1+D$43))/($B$48-D$43))/(1+$B$48)^5))-$B$19+$B$18)/$B$20</f>
        <v/>
      </c>
      <c r="E48" s="20">
        <f>((((($F$12*(1+($B$7+(E$43-$B$7)*1/5)))*$B$8)/(1+$B$48)^1)+((($F$12*(1+($B$7+(E$43-$B$7)*1/5))*(1+($B$7+(E$43-$B$7)*2/5)))*$B$8)/(1+$B$48)^2)+((($F$12*(1+($B$7+(E$43-$B$7)*1/5))*(1+($B$7+(E$43-$B$7)*2/5))*(1+($B$7+(E$43-$B$7)*3/5)))*$B$8)/(1+$B$48)^3)+((($F$12*(1+($B$7+(E$43-$B$7)*1/5))*(1+($B$7+(E$43-$B$7)*2/5))*(1+($B$7+(E$43-$B$7)*3/5))*(1+($B$7+(E$43-$B$7)*4/5)))*$B$8)/(1+$B$48)^4)+((($F$12*(1+($B$7+(E$43-$B$7)*1/5))*(1+($B$7+(E$43-$B$7)*2/5))*(1+($B$7+(E$43-$B$7)*3/5))*(1+($B$7+(E$43-$B$7)*4/5))*(1+($B$7+(E$43-$B$7)*5/5)))*$B$8)/(1+$B$48)^5)+((((($F$12*(1+($B$7+(E$43-$B$7)*1/5))*(1+($B$7+(E$43-$B$7)*2/5))*(1+($B$7+(E$43-$B$7)*3/5))*(1+($B$7+(E$43-$B$7)*4/5))*(1+($B$7+(E$43-$B$7)*5/5)))*$B$8)*(1+E$43))/($B$48-E$43))/(1+$B$48)^5))-$B$19+$B$18)/$B$20</f>
        <v/>
      </c>
      <c r="F48" s="20">
        <f>((((($F$12*(1+($B$7+(F$43-$B$7)*1/5)))*$B$8)/(1+$B$48)^1)+((($F$12*(1+($B$7+(F$43-$B$7)*1/5))*(1+($B$7+(F$43-$B$7)*2/5)))*$B$8)/(1+$B$48)^2)+((($F$12*(1+($B$7+(F$43-$B$7)*1/5))*(1+($B$7+(F$43-$B$7)*2/5))*(1+($B$7+(F$43-$B$7)*3/5)))*$B$8)/(1+$B$48)^3)+((($F$12*(1+($B$7+(F$43-$B$7)*1/5))*(1+($B$7+(F$43-$B$7)*2/5))*(1+($B$7+(F$43-$B$7)*3/5))*(1+($B$7+(F$43-$B$7)*4/5)))*$B$8)/(1+$B$48)^4)+((($F$12*(1+($B$7+(F$43-$B$7)*1/5))*(1+($B$7+(F$43-$B$7)*2/5))*(1+($B$7+(F$43-$B$7)*3/5))*(1+($B$7+(F$43-$B$7)*4/5))*(1+($B$7+(F$43-$B$7)*5/5)))*$B$8)/(1+$B$48)^5)+((((($F$12*(1+($B$7+(F$43-$B$7)*1/5))*(1+($B$7+(F$43-$B$7)*2/5))*(1+($B$7+(F$43-$B$7)*3/5))*(1+($B$7+(F$43-$B$7)*4/5))*(1+($B$7+(F$43-$B$7)*5/5)))*$B$8)*(1+F$43))/($B$48-F$43))/(1+$B$48)^5))-$B$19+$B$18)/$B$20</f>
        <v/>
      </c>
      <c r="G48" s="20">
        <f>((((($F$12*(1+($B$7+(G$43-$B$7)*1/5)))*$B$8)/(1+$B$48)^1)+((($F$12*(1+($B$7+(G$43-$B$7)*1/5))*(1+($B$7+(G$43-$B$7)*2/5)))*$B$8)/(1+$B$48)^2)+((($F$12*(1+($B$7+(G$43-$B$7)*1/5))*(1+($B$7+(G$43-$B$7)*2/5))*(1+($B$7+(G$43-$B$7)*3/5)))*$B$8)/(1+$B$48)^3)+((($F$12*(1+($B$7+(G$43-$B$7)*1/5))*(1+($B$7+(G$43-$B$7)*2/5))*(1+($B$7+(G$43-$B$7)*3/5))*(1+($B$7+(G$43-$B$7)*4/5)))*$B$8)/(1+$B$48)^4)+((($F$12*(1+($B$7+(G$43-$B$7)*1/5))*(1+($B$7+(G$43-$B$7)*2/5))*(1+($B$7+(G$43-$B$7)*3/5))*(1+($B$7+(G$43-$B$7)*4/5))*(1+($B$7+(G$43-$B$7)*5/5)))*$B$8)/(1+$B$48)^5)+((((($F$12*(1+($B$7+(G$43-$B$7)*1/5))*(1+($B$7+(G$43-$B$7)*2/5))*(1+($B$7+(G$43-$B$7)*3/5))*(1+($B$7+(G$43-$B$7)*4/5))*(1+($B$7+(G$43-$B$7)*5/5)))*$B$8)*(1+G$43))/($B$48-G$43))/(1+$B$48)^5))-$B$19+$B$18)/$B$20</f>
        <v/>
      </c>
    </row>
    <row r="50">
      <c r="A50" s="3" t="inlineStr">
        <is>
          <t>Tornado Inputs (other variable held at its base case)</t>
        </is>
      </c>
      <c r="B50" s="12" t="n"/>
      <c r="C50" s="12" t="n"/>
      <c r="D50" s="12" t="n"/>
      <c r="E50" s="12" t="n"/>
      <c r="F50" s="12" t="n"/>
      <c r="G50" s="12" t="n"/>
    </row>
    <row r="51">
      <c r="A51" s="17" t="inlineStr">
        <is>
          <t>Factor</t>
        </is>
      </c>
      <c r="B51" s="17" t="inlineStr">
        <is>
          <t>Low</t>
        </is>
      </c>
      <c r="C51" s="17" t="inlineStr">
        <is>
          <t>High</t>
        </is>
      </c>
      <c r="D51" s="17" t="inlineStr">
        <is>
          <t>Base (chart helper)</t>
        </is>
      </c>
      <c r="E51" s="17" t="inlineStr">
        <is>
          <t>Span (chart helper)</t>
        </is>
      </c>
    </row>
    <row r="52">
      <c r="A52" s="4" t="inlineStr">
        <is>
          <t>WACC (8% → 12%)</t>
        </is>
      </c>
      <c r="B52" s="8">
        <f>E44</f>
        <v/>
      </c>
      <c r="C52" s="8">
        <f>E48</f>
        <v/>
      </c>
      <c r="D52" s="8">
        <f>MIN(B52,C52)</f>
        <v/>
      </c>
      <c r="E52" s="8">
        <f>ABS(C52-B52)</f>
        <v/>
      </c>
    </row>
    <row r="53">
      <c r="A53" s="4" t="inlineStr">
        <is>
          <t>Terminal growth (2% → 4%)</t>
        </is>
      </c>
      <c r="B53" s="8">
        <f>C46</f>
        <v/>
      </c>
      <c r="C53" s="8">
        <f>G46</f>
        <v/>
      </c>
      <c r="D53" s="8">
        <f>MIN(B53,C53)</f>
        <v/>
      </c>
      <c r="E53" s="8">
        <f>ABS(C53-B53)</f>
        <v/>
      </c>
    </row>
  </sheetData>
  <conditionalFormatting sqref="C44:G4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DDOG — Datadog, Inc.</t>
        </is>
      </c>
    </row>
    <row r="2">
      <c r="A2" s="4" t="inlineStr">
        <is>
          <t>Unlevered DCF | $ in millions except per-share and share count</t>
        </is>
      </c>
    </row>
    <row r="4">
      <c r="A4" s="3" t="inlineStr">
        <is>
          <t>Assumptions (edit the highlighted cells)</t>
        </is>
      </c>
      <c r="B4" s="12" t="n"/>
      <c r="C4" s="12" t="n"/>
      <c r="D4" s="12" t="n"/>
      <c r="E4" s="12" t="n"/>
      <c r="F4" s="12" t="n"/>
      <c r="G4" s="12" t="n"/>
    </row>
    <row r="5">
      <c r="A5" s="4" t="inlineStr">
        <is>
          <t>WACC (discount rate)</t>
        </is>
      </c>
      <c r="B5" s="13" t="n">
        <v>0.1</v>
      </c>
    </row>
    <row r="6">
      <c r="A6" s="4" t="inlineStr">
        <is>
          <t>Terminal growth rate</t>
        </is>
      </c>
      <c r="B6" s="13" t="n">
        <v>0.03</v>
      </c>
    </row>
    <row r="7">
      <c r="A7" s="4" t="inlineStr">
        <is>
          <t>Starting revenue growth rate</t>
        </is>
      </c>
      <c r="B7" s="13" t="n">
        <v>0.2767536858183308</v>
      </c>
      <c r="C7" s="2" t="inlineStr">
        <is>
          <t>default: most recent YoY revenue growth</t>
        </is>
      </c>
    </row>
    <row r="8">
      <c r="A8" s="4" t="inlineStr">
        <is>
          <t>Unlevered FCF margin (% of revenue)</t>
        </is>
      </c>
      <c r="B8" s="13" t="n">
        <v>0.3016748830833842</v>
      </c>
      <c r="C8" s="2" t="inlineStr">
        <is>
          <t>default: avg of last 2 fiscal years' FCF / revenue</t>
        </is>
      </c>
    </row>
    <row r="10">
      <c r="A10" s="3" t="inlineStr">
        <is>
          <t>Historical Trend ($ in millions)</t>
        </is>
      </c>
      <c r="B10" s="12" t="n"/>
      <c r="C10" s="12" t="n"/>
      <c r="D10" s="12" t="n"/>
      <c r="E10" s="12" t="n"/>
      <c r="F10" s="12" t="n"/>
      <c r="G10" s="12" t="n"/>
    </row>
    <row r="11">
      <c r="A11" s="4" t="inlineStr">
        <is>
          <t>Fiscal year</t>
        </is>
      </c>
      <c r="B11" s="14" t="n">
        <v>2021</v>
      </c>
      <c r="C11" s="14" t="n">
        <v>2022</v>
      </c>
      <c r="D11" s="14" t="n">
        <v>2023</v>
      </c>
      <c r="E11" s="14" t="n">
        <v>2024</v>
      </c>
      <c r="F11" s="14" t="n">
        <v>2025</v>
      </c>
    </row>
    <row r="12">
      <c r="A12" s="4" t="inlineStr">
        <is>
          <t>Revenue</t>
        </is>
      </c>
      <c r="B12" s="6" t="n">
        <v>1028.784</v>
      </c>
      <c r="C12" s="6" t="n">
        <v>1675.1</v>
      </c>
      <c r="D12" s="6" t="n">
        <v>2128.359</v>
      </c>
      <c r="E12" s="6" t="n">
        <v>2684.275</v>
      </c>
      <c r="F12" s="6" t="n">
        <v>3427.158</v>
      </c>
    </row>
    <row r="13">
      <c r="A13" s="4" t="inlineStr">
        <is>
          <t>Revenue growth %</t>
        </is>
      </c>
      <c r="C13" s="5">
        <f>C12/B12-1</f>
        <v/>
      </c>
      <c r="D13" s="5">
        <f>D12/C12-1</f>
        <v/>
      </c>
      <c r="E13" s="5">
        <f>E12/D12-1</f>
        <v/>
      </c>
      <c r="F13" s="5">
        <f>F12/E12-1</f>
        <v/>
      </c>
    </row>
    <row r="14">
      <c r="A14" s="4" t="inlineStr">
        <is>
          <t>Free cash flow</t>
        </is>
      </c>
      <c r="B14" s="6" t="n">
        <v>276.589</v>
      </c>
      <c r="C14" s="6" t="n">
        <v>383.146</v>
      </c>
      <c r="D14" s="6" t="n">
        <v>632.3680000000001</v>
      </c>
      <c r="E14" s="6" t="n">
        <v>835.884</v>
      </c>
      <c r="F14" s="6" t="n">
        <v>1000.557</v>
      </c>
    </row>
    <row r="15">
      <c r="A15" s="4" t="inlineStr">
        <is>
          <t>FCF margin %</t>
        </is>
      </c>
      <c r="B15" s="5">
        <f>B14/B12</f>
        <v/>
      </c>
      <c r="C15" s="5">
        <f>C14/C12</f>
        <v/>
      </c>
      <c r="D15" s="5">
        <f>D14/D12</f>
        <v/>
      </c>
      <c r="E15" s="5">
        <f>E14/E12</f>
        <v/>
      </c>
      <c r="F15" s="5">
        <f>F14/F12</f>
        <v/>
      </c>
    </row>
    <row r="17">
      <c r="A17" s="3" t="inlineStr">
        <is>
          <t>Balance Sheet Actuals — FY2025 ($ in millions)</t>
        </is>
      </c>
      <c r="B17" s="12" t="n"/>
      <c r="C17" s="12" t="n"/>
      <c r="D17" s="12" t="n"/>
      <c r="E17" s="12" t="n"/>
      <c r="F17" s="12" t="n"/>
      <c r="G17" s="12" t="n"/>
    </row>
    <row r="18">
      <c r="A18" s="4" t="inlineStr">
        <is>
          <t>Cash &amp; equivalents</t>
        </is>
      </c>
      <c r="B18" s="6" t="n">
        <v>401.305</v>
      </c>
    </row>
    <row r="19">
      <c r="A19" s="4" t="inlineStr">
        <is>
          <t>Total debt</t>
        </is>
      </c>
      <c r="B19" s="6" t="n">
        <v>983.449</v>
      </c>
    </row>
    <row r="20">
      <c r="A20" s="4" t="inlineStr">
        <is>
          <t>Diluted shares outstanding (millions)</t>
        </is>
      </c>
      <c r="B20" s="6" t="n">
        <v>363.472</v>
      </c>
    </row>
    <row r="22">
      <c r="A22" s="3" t="inlineStr">
        <is>
          <t>5-Year Projection ($ in millions)</t>
        </is>
      </c>
      <c r="B22" s="12" t="n"/>
      <c r="C22" s="12" t="n"/>
      <c r="D22" s="12" t="n"/>
      <c r="E22" s="12" t="n"/>
      <c r="F22" s="12" t="n"/>
      <c r="G22" s="12" t="n"/>
    </row>
    <row r="23">
      <c r="A23" s="4" t="inlineStr">
        <is>
          <t>Fiscal year</t>
        </is>
      </c>
      <c r="B23" s="14" t="inlineStr">
        <is>
          <t>FY2026E</t>
        </is>
      </c>
      <c r="C23" s="14" t="inlineStr">
        <is>
          <t>FY2027E</t>
        </is>
      </c>
      <c r="D23" s="14" t="inlineStr">
        <is>
          <t>FY2028E</t>
        </is>
      </c>
      <c r="E23" s="14" t="inlineStr">
        <is>
          <t>FY2029E</t>
        </is>
      </c>
      <c r="F23" s="14" t="inlineStr">
        <is>
          <t>FY2030E</t>
        </is>
      </c>
    </row>
    <row r="24">
      <c r="A24" s="4" t="inlineStr">
        <is>
          <t>Revenue growth rate</t>
        </is>
      </c>
      <c r="B24" s="5">
        <f>$B$7+($B$6-$B$7)*1/5</f>
        <v/>
      </c>
      <c r="C24" s="5">
        <f>$B$7+($B$6-$B$7)*2/5</f>
        <v/>
      </c>
      <c r="D24" s="5">
        <f>$B$7+($B$6-$B$7)*3/5</f>
        <v/>
      </c>
      <c r="E24" s="5">
        <f>$B$7+($B$6-$B$7)*4/5</f>
        <v/>
      </c>
      <c r="F24" s="5">
        <f>$B$7+($B$6-$B$7)*5/5</f>
        <v/>
      </c>
    </row>
    <row r="25">
      <c r="A25" s="4" t="inlineStr">
        <is>
          <t>Projected revenue</t>
        </is>
      </c>
      <c r="B25" s="6">
        <f>F12*(1+B24)</f>
        <v/>
      </c>
      <c r="C25" s="6">
        <f>B25*(1+C24)</f>
        <v/>
      </c>
      <c r="D25" s="6">
        <f>C25*(1+D24)</f>
        <v/>
      </c>
      <c r="E25" s="6">
        <f>D25*(1+E24)</f>
        <v/>
      </c>
      <c r="F25" s="6">
        <f>E25*(1+F24)</f>
        <v/>
      </c>
    </row>
    <row r="26">
      <c r="A26" s="4" t="inlineStr">
        <is>
          <t>FCF margin (assumption, held flat)</t>
        </is>
      </c>
      <c r="B26" s="5">
        <f>$B$8</f>
        <v/>
      </c>
      <c r="C26" s="5">
        <f>$B$8</f>
        <v/>
      </c>
      <c r="D26" s="5">
        <f>$B$8</f>
        <v/>
      </c>
      <c r="E26" s="5">
        <f>$B$8</f>
        <v/>
      </c>
      <c r="F26" s="5">
        <f>$B$8</f>
        <v/>
      </c>
    </row>
    <row r="27">
      <c r="A27" s="4" t="inlineStr">
        <is>
          <t>Projected unlevered FCF</t>
        </is>
      </c>
      <c r="B27" s="6">
        <f>B25*B26</f>
        <v/>
      </c>
      <c r="C27" s="6">
        <f>C25*C26</f>
        <v/>
      </c>
      <c r="D27" s="6">
        <f>D25*D26</f>
        <v/>
      </c>
      <c r="E27" s="6">
        <f>E25*E26</f>
        <v/>
      </c>
      <c r="F27" s="6">
        <f>F25*F26</f>
        <v/>
      </c>
    </row>
    <row r="28">
      <c r="A28" s="4" t="inlineStr">
        <is>
          <t>Discount factor</t>
        </is>
      </c>
      <c r="B28" s="15">
        <f>1/(1+$B$5)^1</f>
        <v/>
      </c>
      <c r="C28" s="15">
        <f>1/(1+$B$5)^2</f>
        <v/>
      </c>
      <c r="D28" s="15">
        <f>1/(1+$B$5)^3</f>
        <v/>
      </c>
      <c r="E28" s="15">
        <f>1/(1+$B$5)^4</f>
        <v/>
      </c>
      <c r="F28" s="15">
        <f>1/(1+$B$5)^5</f>
        <v/>
      </c>
    </row>
    <row r="29">
      <c r="A29" s="4" t="inlineStr">
        <is>
          <t>PV of FCF</t>
        </is>
      </c>
      <c r="B29" s="6">
        <f>B27*B28</f>
        <v/>
      </c>
      <c r="C29" s="6">
        <f>C27*C28</f>
        <v/>
      </c>
      <c r="D29" s="6">
        <f>D27*D28</f>
        <v/>
      </c>
      <c r="E29" s="6">
        <f>E27*E28</f>
        <v/>
      </c>
      <c r="F29" s="6">
        <f>F27*F28</f>
        <v/>
      </c>
    </row>
    <row r="31">
      <c r="A31" s="3" t="inlineStr">
        <is>
          <t>Terminal Value &amp; Valuation</t>
        </is>
      </c>
      <c r="B31" s="12" t="n"/>
      <c r="C31" s="12" t="n"/>
      <c r="D31" s="12" t="n"/>
      <c r="E31" s="12" t="n"/>
      <c r="F31" s="12" t="n"/>
      <c r="G31" s="12" t="n"/>
    </row>
    <row r="32">
      <c r="A32" s="4" t="inlineStr">
        <is>
          <t>Terminal value (end of FY2030)</t>
        </is>
      </c>
      <c r="B32" s="6">
        <f>F27*(1+$B$6)/($B$5-$B$6)</f>
        <v/>
      </c>
    </row>
    <row r="33">
      <c r="A33" s="4" t="inlineStr">
        <is>
          <t>PV of terminal value</t>
        </is>
      </c>
      <c r="B33" s="6">
        <f>B32*F28</f>
        <v/>
      </c>
    </row>
    <row r="34">
      <c r="A34" s="4" t="inlineStr">
        <is>
          <t>Sum of PV of projected FCFs</t>
        </is>
      </c>
      <c r="B34" s="6">
        <f>SUM(B29:F29)</f>
        <v/>
      </c>
    </row>
    <row r="35">
      <c r="A35" s="4" t="inlineStr">
        <is>
          <t>Enterprise value</t>
        </is>
      </c>
      <c r="B35" s="16">
        <f>B33+B34</f>
        <v/>
      </c>
    </row>
    <row r="36">
      <c r="A36" s="4" t="inlineStr">
        <is>
          <t>Less: total debt</t>
        </is>
      </c>
      <c r="B36" s="6">
        <f>-B19</f>
        <v/>
      </c>
    </row>
    <row r="37">
      <c r="A37" s="4" t="inlineStr">
        <is>
          <t>Plus: cash &amp; equivalents</t>
        </is>
      </c>
      <c r="B37" s="6">
        <f>B18</f>
        <v/>
      </c>
    </row>
    <row r="38">
      <c r="A38" s="4" t="inlineStr">
        <is>
          <t>Equity value</t>
        </is>
      </c>
      <c r="B38" s="16">
        <f>B35+B36+B37</f>
        <v/>
      </c>
    </row>
    <row r="39">
      <c r="A39" s="4" t="inlineStr">
        <is>
          <t>Diluted shares outstanding (millions)</t>
        </is>
      </c>
      <c r="B39" s="6">
        <f>B20</f>
        <v/>
      </c>
    </row>
    <row r="40">
      <c r="A40" s="4" t="inlineStr">
        <is>
          <t>Implied value per share</t>
        </is>
      </c>
      <c r="B40" s="7">
        <f>B38/B39</f>
        <v/>
      </c>
    </row>
    <row r="42">
      <c r="A42" s="3" t="inlineStr">
        <is>
          <t>Sensitivity: Implied Value/Share (WACC x Terminal Growth)</t>
        </is>
      </c>
      <c r="B42" s="12" t="n"/>
      <c r="C42" s="12" t="n"/>
      <c r="D42" s="12" t="n"/>
      <c r="E42" s="12" t="n"/>
      <c r="F42" s="12" t="n"/>
      <c r="G42" s="12" t="n"/>
    </row>
    <row r="43">
      <c r="B43" s="17" t="inlineStr">
        <is>
          <t>WACC \ Term. g</t>
        </is>
      </c>
      <c r="C43" s="18" t="n">
        <v>0.02</v>
      </c>
      <c r="D43" s="18" t="n">
        <v>0.025</v>
      </c>
      <c r="E43" s="18" t="n">
        <v>0.03</v>
      </c>
      <c r="F43" s="18" t="n">
        <v>0.035</v>
      </c>
      <c r="G43" s="18" t="n">
        <v>0.04</v>
      </c>
    </row>
    <row r="44">
      <c r="B44" s="19" t="n">
        <v>0.08</v>
      </c>
      <c r="C44" s="20">
        <f>((((($F$12*(1+($B$7+(C$43-$B$7)*1/5)))*$B$8)/(1+$B$44)^1)+((($F$12*(1+($B$7+(C$43-$B$7)*1/5))*(1+($B$7+(C$43-$B$7)*2/5)))*$B$8)/(1+$B$44)^2)+((($F$12*(1+($B$7+(C$43-$B$7)*1/5))*(1+($B$7+(C$43-$B$7)*2/5))*(1+($B$7+(C$43-$B$7)*3/5)))*$B$8)/(1+$B$44)^3)+((($F$12*(1+($B$7+(C$43-$B$7)*1/5))*(1+($B$7+(C$43-$B$7)*2/5))*(1+($B$7+(C$43-$B$7)*3/5))*(1+($B$7+(C$43-$B$7)*4/5)))*$B$8)/(1+$B$44)^4)+((($F$12*(1+($B$7+(C$43-$B$7)*1/5))*(1+($B$7+(C$43-$B$7)*2/5))*(1+($B$7+(C$43-$B$7)*3/5))*(1+($B$7+(C$43-$B$7)*4/5))*(1+($B$7+(C$43-$B$7)*5/5)))*$B$8)/(1+$B$44)^5)+((((($F$12*(1+($B$7+(C$43-$B$7)*1/5))*(1+($B$7+(C$43-$B$7)*2/5))*(1+($B$7+(C$43-$B$7)*3/5))*(1+($B$7+(C$43-$B$7)*4/5))*(1+($B$7+(C$43-$B$7)*5/5)))*$B$8)*(1+C$43))/($B$44-C$43))/(1+$B$44)^5))-$B$19+$B$18)/$B$20</f>
        <v/>
      </c>
      <c r="D44" s="20">
        <f>((((($F$12*(1+($B$7+(D$43-$B$7)*1/5)))*$B$8)/(1+$B$44)^1)+((($F$12*(1+($B$7+(D$43-$B$7)*1/5))*(1+($B$7+(D$43-$B$7)*2/5)))*$B$8)/(1+$B$44)^2)+((($F$12*(1+($B$7+(D$43-$B$7)*1/5))*(1+($B$7+(D$43-$B$7)*2/5))*(1+($B$7+(D$43-$B$7)*3/5)))*$B$8)/(1+$B$44)^3)+((($F$12*(1+($B$7+(D$43-$B$7)*1/5))*(1+($B$7+(D$43-$B$7)*2/5))*(1+($B$7+(D$43-$B$7)*3/5))*(1+($B$7+(D$43-$B$7)*4/5)))*$B$8)/(1+$B$44)^4)+((($F$12*(1+($B$7+(D$43-$B$7)*1/5))*(1+($B$7+(D$43-$B$7)*2/5))*(1+($B$7+(D$43-$B$7)*3/5))*(1+($B$7+(D$43-$B$7)*4/5))*(1+($B$7+(D$43-$B$7)*5/5)))*$B$8)/(1+$B$44)^5)+((((($F$12*(1+($B$7+(D$43-$B$7)*1/5))*(1+($B$7+(D$43-$B$7)*2/5))*(1+($B$7+(D$43-$B$7)*3/5))*(1+($B$7+(D$43-$B$7)*4/5))*(1+($B$7+(D$43-$B$7)*5/5)))*$B$8)*(1+D$43))/($B$44-D$43))/(1+$B$44)^5))-$B$19+$B$18)/$B$20</f>
        <v/>
      </c>
      <c r="E44" s="20">
        <f>((((($F$12*(1+($B$7+(E$43-$B$7)*1/5)))*$B$8)/(1+$B$44)^1)+((($F$12*(1+($B$7+(E$43-$B$7)*1/5))*(1+($B$7+(E$43-$B$7)*2/5)))*$B$8)/(1+$B$44)^2)+((($F$12*(1+($B$7+(E$43-$B$7)*1/5))*(1+($B$7+(E$43-$B$7)*2/5))*(1+($B$7+(E$43-$B$7)*3/5)))*$B$8)/(1+$B$44)^3)+((($F$12*(1+($B$7+(E$43-$B$7)*1/5))*(1+($B$7+(E$43-$B$7)*2/5))*(1+($B$7+(E$43-$B$7)*3/5))*(1+($B$7+(E$43-$B$7)*4/5)))*$B$8)/(1+$B$44)^4)+((($F$12*(1+($B$7+(E$43-$B$7)*1/5))*(1+($B$7+(E$43-$B$7)*2/5))*(1+($B$7+(E$43-$B$7)*3/5))*(1+($B$7+(E$43-$B$7)*4/5))*(1+($B$7+(E$43-$B$7)*5/5)))*$B$8)/(1+$B$44)^5)+((((($F$12*(1+($B$7+(E$43-$B$7)*1/5))*(1+($B$7+(E$43-$B$7)*2/5))*(1+($B$7+(E$43-$B$7)*3/5))*(1+($B$7+(E$43-$B$7)*4/5))*(1+($B$7+(E$43-$B$7)*5/5)))*$B$8)*(1+E$43))/($B$44-E$43))/(1+$B$44)^5))-$B$19+$B$18)/$B$20</f>
        <v/>
      </c>
      <c r="F44" s="20">
        <f>((((($F$12*(1+($B$7+(F$43-$B$7)*1/5)))*$B$8)/(1+$B$44)^1)+((($F$12*(1+($B$7+(F$43-$B$7)*1/5))*(1+($B$7+(F$43-$B$7)*2/5)))*$B$8)/(1+$B$44)^2)+((($F$12*(1+($B$7+(F$43-$B$7)*1/5))*(1+($B$7+(F$43-$B$7)*2/5))*(1+($B$7+(F$43-$B$7)*3/5)))*$B$8)/(1+$B$44)^3)+((($F$12*(1+($B$7+(F$43-$B$7)*1/5))*(1+($B$7+(F$43-$B$7)*2/5))*(1+($B$7+(F$43-$B$7)*3/5))*(1+($B$7+(F$43-$B$7)*4/5)))*$B$8)/(1+$B$44)^4)+((($F$12*(1+($B$7+(F$43-$B$7)*1/5))*(1+($B$7+(F$43-$B$7)*2/5))*(1+($B$7+(F$43-$B$7)*3/5))*(1+($B$7+(F$43-$B$7)*4/5))*(1+($B$7+(F$43-$B$7)*5/5)))*$B$8)/(1+$B$44)^5)+((((($F$12*(1+($B$7+(F$43-$B$7)*1/5))*(1+($B$7+(F$43-$B$7)*2/5))*(1+($B$7+(F$43-$B$7)*3/5))*(1+($B$7+(F$43-$B$7)*4/5))*(1+($B$7+(F$43-$B$7)*5/5)))*$B$8)*(1+F$43))/($B$44-F$43))/(1+$B$44)^5))-$B$19+$B$18)/$B$20</f>
        <v/>
      </c>
      <c r="G44" s="20">
        <f>((((($F$12*(1+($B$7+(G$43-$B$7)*1/5)))*$B$8)/(1+$B$44)^1)+((($F$12*(1+($B$7+(G$43-$B$7)*1/5))*(1+($B$7+(G$43-$B$7)*2/5)))*$B$8)/(1+$B$44)^2)+((($F$12*(1+($B$7+(G$43-$B$7)*1/5))*(1+($B$7+(G$43-$B$7)*2/5))*(1+($B$7+(G$43-$B$7)*3/5)))*$B$8)/(1+$B$44)^3)+((($F$12*(1+($B$7+(G$43-$B$7)*1/5))*(1+($B$7+(G$43-$B$7)*2/5))*(1+($B$7+(G$43-$B$7)*3/5))*(1+($B$7+(G$43-$B$7)*4/5)))*$B$8)/(1+$B$44)^4)+((($F$12*(1+($B$7+(G$43-$B$7)*1/5))*(1+($B$7+(G$43-$B$7)*2/5))*(1+($B$7+(G$43-$B$7)*3/5))*(1+($B$7+(G$43-$B$7)*4/5))*(1+($B$7+(G$43-$B$7)*5/5)))*$B$8)/(1+$B$44)^5)+((((($F$12*(1+($B$7+(G$43-$B$7)*1/5))*(1+($B$7+(G$43-$B$7)*2/5))*(1+($B$7+(G$43-$B$7)*3/5))*(1+($B$7+(G$43-$B$7)*4/5))*(1+($B$7+(G$43-$B$7)*5/5)))*$B$8)*(1+G$43))/($B$44-G$43))/(1+$B$44)^5))-$B$19+$B$18)/$B$20</f>
        <v/>
      </c>
    </row>
    <row r="45">
      <c r="B45" s="19" t="n">
        <v>0.09</v>
      </c>
      <c r="C45" s="20">
        <f>((((($F$12*(1+($B$7+(C$43-$B$7)*1/5)))*$B$8)/(1+$B$45)^1)+((($F$12*(1+($B$7+(C$43-$B$7)*1/5))*(1+($B$7+(C$43-$B$7)*2/5)))*$B$8)/(1+$B$45)^2)+((($F$12*(1+($B$7+(C$43-$B$7)*1/5))*(1+($B$7+(C$43-$B$7)*2/5))*(1+($B$7+(C$43-$B$7)*3/5)))*$B$8)/(1+$B$45)^3)+((($F$12*(1+($B$7+(C$43-$B$7)*1/5))*(1+($B$7+(C$43-$B$7)*2/5))*(1+($B$7+(C$43-$B$7)*3/5))*(1+($B$7+(C$43-$B$7)*4/5)))*$B$8)/(1+$B$45)^4)+((($F$12*(1+($B$7+(C$43-$B$7)*1/5))*(1+($B$7+(C$43-$B$7)*2/5))*(1+($B$7+(C$43-$B$7)*3/5))*(1+($B$7+(C$43-$B$7)*4/5))*(1+($B$7+(C$43-$B$7)*5/5)))*$B$8)/(1+$B$45)^5)+((((($F$12*(1+($B$7+(C$43-$B$7)*1/5))*(1+($B$7+(C$43-$B$7)*2/5))*(1+($B$7+(C$43-$B$7)*3/5))*(1+($B$7+(C$43-$B$7)*4/5))*(1+($B$7+(C$43-$B$7)*5/5)))*$B$8)*(1+C$43))/($B$45-C$43))/(1+$B$45)^5))-$B$19+$B$18)/$B$20</f>
        <v/>
      </c>
      <c r="D45" s="20">
        <f>((((($F$12*(1+($B$7+(D$43-$B$7)*1/5)))*$B$8)/(1+$B$45)^1)+((($F$12*(1+($B$7+(D$43-$B$7)*1/5))*(1+($B$7+(D$43-$B$7)*2/5)))*$B$8)/(1+$B$45)^2)+((($F$12*(1+($B$7+(D$43-$B$7)*1/5))*(1+($B$7+(D$43-$B$7)*2/5))*(1+($B$7+(D$43-$B$7)*3/5)))*$B$8)/(1+$B$45)^3)+((($F$12*(1+($B$7+(D$43-$B$7)*1/5))*(1+($B$7+(D$43-$B$7)*2/5))*(1+($B$7+(D$43-$B$7)*3/5))*(1+($B$7+(D$43-$B$7)*4/5)))*$B$8)/(1+$B$45)^4)+((($F$12*(1+($B$7+(D$43-$B$7)*1/5))*(1+($B$7+(D$43-$B$7)*2/5))*(1+($B$7+(D$43-$B$7)*3/5))*(1+($B$7+(D$43-$B$7)*4/5))*(1+($B$7+(D$43-$B$7)*5/5)))*$B$8)/(1+$B$45)^5)+((((($F$12*(1+($B$7+(D$43-$B$7)*1/5))*(1+($B$7+(D$43-$B$7)*2/5))*(1+($B$7+(D$43-$B$7)*3/5))*(1+($B$7+(D$43-$B$7)*4/5))*(1+($B$7+(D$43-$B$7)*5/5)))*$B$8)*(1+D$43))/($B$45-D$43))/(1+$B$45)^5))-$B$19+$B$18)/$B$20</f>
        <v/>
      </c>
      <c r="E45" s="20">
        <f>((((($F$12*(1+($B$7+(E$43-$B$7)*1/5)))*$B$8)/(1+$B$45)^1)+((($F$12*(1+($B$7+(E$43-$B$7)*1/5))*(1+($B$7+(E$43-$B$7)*2/5)))*$B$8)/(1+$B$45)^2)+((($F$12*(1+($B$7+(E$43-$B$7)*1/5))*(1+($B$7+(E$43-$B$7)*2/5))*(1+($B$7+(E$43-$B$7)*3/5)))*$B$8)/(1+$B$45)^3)+((($F$12*(1+($B$7+(E$43-$B$7)*1/5))*(1+($B$7+(E$43-$B$7)*2/5))*(1+($B$7+(E$43-$B$7)*3/5))*(1+($B$7+(E$43-$B$7)*4/5)))*$B$8)/(1+$B$45)^4)+((($F$12*(1+($B$7+(E$43-$B$7)*1/5))*(1+($B$7+(E$43-$B$7)*2/5))*(1+($B$7+(E$43-$B$7)*3/5))*(1+($B$7+(E$43-$B$7)*4/5))*(1+($B$7+(E$43-$B$7)*5/5)))*$B$8)/(1+$B$45)^5)+((((($F$12*(1+($B$7+(E$43-$B$7)*1/5))*(1+($B$7+(E$43-$B$7)*2/5))*(1+($B$7+(E$43-$B$7)*3/5))*(1+($B$7+(E$43-$B$7)*4/5))*(1+($B$7+(E$43-$B$7)*5/5)))*$B$8)*(1+E$43))/($B$45-E$43))/(1+$B$45)^5))-$B$19+$B$18)/$B$20</f>
        <v/>
      </c>
      <c r="F45" s="20">
        <f>((((($F$12*(1+($B$7+(F$43-$B$7)*1/5)))*$B$8)/(1+$B$45)^1)+((($F$12*(1+($B$7+(F$43-$B$7)*1/5))*(1+($B$7+(F$43-$B$7)*2/5)))*$B$8)/(1+$B$45)^2)+((($F$12*(1+($B$7+(F$43-$B$7)*1/5))*(1+($B$7+(F$43-$B$7)*2/5))*(1+($B$7+(F$43-$B$7)*3/5)))*$B$8)/(1+$B$45)^3)+((($F$12*(1+($B$7+(F$43-$B$7)*1/5))*(1+($B$7+(F$43-$B$7)*2/5))*(1+($B$7+(F$43-$B$7)*3/5))*(1+($B$7+(F$43-$B$7)*4/5)))*$B$8)/(1+$B$45)^4)+((($F$12*(1+($B$7+(F$43-$B$7)*1/5))*(1+($B$7+(F$43-$B$7)*2/5))*(1+($B$7+(F$43-$B$7)*3/5))*(1+($B$7+(F$43-$B$7)*4/5))*(1+($B$7+(F$43-$B$7)*5/5)))*$B$8)/(1+$B$45)^5)+((((($F$12*(1+($B$7+(F$43-$B$7)*1/5))*(1+($B$7+(F$43-$B$7)*2/5))*(1+($B$7+(F$43-$B$7)*3/5))*(1+($B$7+(F$43-$B$7)*4/5))*(1+($B$7+(F$43-$B$7)*5/5)))*$B$8)*(1+F$43))/($B$45-F$43))/(1+$B$45)^5))-$B$19+$B$18)/$B$20</f>
        <v/>
      </c>
      <c r="G45" s="20">
        <f>((((($F$12*(1+($B$7+(G$43-$B$7)*1/5)))*$B$8)/(1+$B$45)^1)+((($F$12*(1+($B$7+(G$43-$B$7)*1/5))*(1+($B$7+(G$43-$B$7)*2/5)))*$B$8)/(1+$B$45)^2)+((($F$12*(1+($B$7+(G$43-$B$7)*1/5))*(1+($B$7+(G$43-$B$7)*2/5))*(1+($B$7+(G$43-$B$7)*3/5)))*$B$8)/(1+$B$45)^3)+((($F$12*(1+($B$7+(G$43-$B$7)*1/5))*(1+($B$7+(G$43-$B$7)*2/5))*(1+($B$7+(G$43-$B$7)*3/5))*(1+($B$7+(G$43-$B$7)*4/5)))*$B$8)/(1+$B$45)^4)+((($F$12*(1+($B$7+(G$43-$B$7)*1/5))*(1+($B$7+(G$43-$B$7)*2/5))*(1+($B$7+(G$43-$B$7)*3/5))*(1+($B$7+(G$43-$B$7)*4/5))*(1+($B$7+(G$43-$B$7)*5/5)))*$B$8)/(1+$B$45)^5)+((((($F$12*(1+($B$7+(G$43-$B$7)*1/5))*(1+($B$7+(G$43-$B$7)*2/5))*(1+($B$7+(G$43-$B$7)*3/5))*(1+($B$7+(G$43-$B$7)*4/5))*(1+($B$7+(G$43-$B$7)*5/5)))*$B$8)*(1+G$43))/($B$45-G$43))/(1+$B$45)^5))-$B$19+$B$18)/$B$20</f>
        <v/>
      </c>
    </row>
    <row r="46">
      <c r="B46" s="19" t="n">
        <v>0.1</v>
      </c>
      <c r="C46" s="20">
        <f>((((($F$12*(1+($B$7+(C$43-$B$7)*1/5)))*$B$8)/(1+$B$46)^1)+((($F$12*(1+($B$7+(C$43-$B$7)*1/5))*(1+($B$7+(C$43-$B$7)*2/5)))*$B$8)/(1+$B$46)^2)+((($F$12*(1+($B$7+(C$43-$B$7)*1/5))*(1+($B$7+(C$43-$B$7)*2/5))*(1+($B$7+(C$43-$B$7)*3/5)))*$B$8)/(1+$B$46)^3)+((($F$12*(1+($B$7+(C$43-$B$7)*1/5))*(1+($B$7+(C$43-$B$7)*2/5))*(1+($B$7+(C$43-$B$7)*3/5))*(1+($B$7+(C$43-$B$7)*4/5)))*$B$8)/(1+$B$46)^4)+((($F$12*(1+($B$7+(C$43-$B$7)*1/5))*(1+($B$7+(C$43-$B$7)*2/5))*(1+($B$7+(C$43-$B$7)*3/5))*(1+($B$7+(C$43-$B$7)*4/5))*(1+($B$7+(C$43-$B$7)*5/5)))*$B$8)/(1+$B$46)^5)+((((($F$12*(1+($B$7+(C$43-$B$7)*1/5))*(1+($B$7+(C$43-$B$7)*2/5))*(1+($B$7+(C$43-$B$7)*3/5))*(1+($B$7+(C$43-$B$7)*4/5))*(1+($B$7+(C$43-$B$7)*5/5)))*$B$8)*(1+C$43))/($B$46-C$43))/(1+$B$46)^5))-$B$19+$B$18)/$B$20</f>
        <v/>
      </c>
      <c r="D46" s="20">
        <f>((((($F$12*(1+($B$7+(D$43-$B$7)*1/5)))*$B$8)/(1+$B$46)^1)+((($F$12*(1+($B$7+(D$43-$B$7)*1/5))*(1+($B$7+(D$43-$B$7)*2/5)))*$B$8)/(1+$B$46)^2)+((($F$12*(1+($B$7+(D$43-$B$7)*1/5))*(1+($B$7+(D$43-$B$7)*2/5))*(1+($B$7+(D$43-$B$7)*3/5)))*$B$8)/(1+$B$46)^3)+((($F$12*(1+($B$7+(D$43-$B$7)*1/5))*(1+($B$7+(D$43-$B$7)*2/5))*(1+($B$7+(D$43-$B$7)*3/5))*(1+($B$7+(D$43-$B$7)*4/5)))*$B$8)/(1+$B$46)^4)+((($F$12*(1+($B$7+(D$43-$B$7)*1/5))*(1+($B$7+(D$43-$B$7)*2/5))*(1+($B$7+(D$43-$B$7)*3/5))*(1+($B$7+(D$43-$B$7)*4/5))*(1+($B$7+(D$43-$B$7)*5/5)))*$B$8)/(1+$B$46)^5)+((((($F$12*(1+($B$7+(D$43-$B$7)*1/5))*(1+($B$7+(D$43-$B$7)*2/5))*(1+($B$7+(D$43-$B$7)*3/5))*(1+($B$7+(D$43-$B$7)*4/5))*(1+($B$7+(D$43-$B$7)*5/5)))*$B$8)*(1+D$43))/($B$46-D$43))/(1+$B$46)^5))-$B$19+$B$18)/$B$20</f>
        <v/>
      </c>
      <c r="E46" s="20">
        <f>((((($F$12*(1+($B$7+(E$43-$B$7)*1/5)))*$B$8)/(1+$B$46)^1)+((($F$12*(1+($B$7+(E$43-$B$7)*1/5))*(1+($B$7+(E$43-$B$7)*2/5)))*$B$8)/(1+$B$46)^2)+((($F$12*(1+($B$7+(E$43-$B$7)*1/5))*(1+($B$7+(E$43-$B$7)*2/5))*(1+($B$7+(E$43-$B$7)*3/5)))*$B$8)/(1+$B$46)^3)+((($F$12*(1+($B$7+(E$43-$B$7)*1/5))*(1+($B$7+(E$43-$B$7)*2/5))*(1+($B$7+(E$43-$B$7)*3/5))*(1+($B$7+(E$43-$B$7)*4/5)))*$B$8)/(1+$B$46)^4)+((($F$12*(1+($B$7+(E$43-$B$7)*1/5))*(1+($B$7+(E$43-$B$7)*2/5))*(1+($B$7+(E$43-$B$7)*3/5))*(1+($B$7+(E$43-$B$7)*4/5))*(1+($B$7+(E$43-$B$7)*5/5)))*$B$8)/(1+$B$46)^5)+((((($F$12*(1+($B$7+(E$43-$B$7)*1/5))*(1+($B$7+(E$43-$B$7)*2/5))*(1+($B$7+(E$43-$B$7)*3/5))*(1+($B$7+(E$43-$B$7)*4/5))*(1+($B$7+(E$43-$B$7)*5/5)))*$B$8)*(1+E$43))/($B$46-E$43))/(1+$B$46)^5))-$B$19+$B$18)/$B$20</f>
        <v/>
      </c>
      <c r="F46" s="20">
        <f>((((($F$12*(1+($B$7+(F$43-$B$7)*1/5)))*$B$8)/(1+$B$46)^1)+((($F$12*(1+($B$7+(F$43-$B$7)*1/5))*(1+($B$7+(F$43-$B$7)*2/5)))*$B$8)/(1+$B$46)^2)+((($F$12*(1+($B$7+(F$43-$B$7)*1/5))*(1+($B$7+(F$43-$B$7)*2/5))*(1+($B$7+(F$43-$B$7)*3/5)))*$B$8)/(1+$B$46)^3)+((($F$12*(1+($B$7+(F$43-$B$7)*1/5))*(1+($B$7+(F$43-$B$7)*2/5))*(1+($B$7+(F$43-$B$7)*3/5))*(1+($B$7+(F$43-$B$7)*4/5)))*$B$8)/(1+$B$46)^4)+((($F$12*(1+($B$7+(F$43-$B$7)*1/5))*(1+($B$7+(F$43-$B$7)*2/5))*(1+($B$7+(F$43-$B$7)*3/5))*(1+($B$7+(F$43-$B$7)*4/5))*(1+($B$7+(F$43-$B$7)*5/5)))*$B$8)/(1+$B$46)^5)+((((($F$12*(1+($B$7+(F$43-$B$7)*1/5))*(1+($B$7+(F$43-$B$7)*2/5))*(1+($B$7+(F$43-$B$7)*3/5))*(1+($B$7+(F$43-$B$7)*4/5))*(1+($B$7+(F$43-$B$7)*5/5)))*$B$8)*(1+F$43))/($B$46-F$43))/(1+$B$46)^5))-$B$19+$B$18)/$B$20</f>
        <v/>
      </c>
      <c r="G46" s="20">
        <f>((((($F$12*(1+($B$7+(G$43-$B$7)*1/5)))*$B$8)/(1+$B$46)^1)+((($F$12*(1+($B$7+(G$43-$B$7)*1/5))*(1+($B$7+(G$43-$B$7)*2/5)))*$B$8)/(1+$B$46)^2)+((($F$12*(1+($B$7+(G$43-$B$7)*1/5))*(1+($B$7+(G$43-$B$7)*2/5))*(1+($B$7+(G$43-$B$7)*3/5)))*$B$8)/(1+$B$46)^3)+((($F$12*(1+($B$7+(G$43-$B$7)*1/5))*(1+($B$7+(G$43-$B$7)*2/5))*(1+($B$7+(G$43-$B$7)*3/5))*(1+($B$7+(G$43-$B$7)*4/5)))*$B$8)/(1+$B$46)^4)+((($F$12*(1+($B$7+(G$43-$B$7)*1/5))*(1+($B$7+(G$43-$B$7)*2/5))*(1+($B$7+(G$43-$B$7)*3/5))*(1+($B$7+(G$43-$B$7)*4/5))*(1+($B$7+(G$43-$B$7)*5/5)))*$B$8)/(1+$B$46)^5)+((((($F$12*(1+($B$7+(G$43-$B$7)*1/5))*(1+($B$7+(G$43-$B$7)*2/5))*(1+($B$7+(G$43-$B$7)*3/5))*(1+($B$7+(G$43-$B$7)*4/5))*(1+($B$7+(G$43-$B$7)*5/5)))*$B$8)*(1+G$43))/($B$46-G$43))/(1+$B$46)^5))-$B$19+$B$18)/$B$20</f>
        <v/>
      </c>
    </row>
    <row r="47">
      <c r="B47" s="19" t="n">
        <v>0.11</v>
      </c>
      <c r="C47" s="20">
        <f>((((($F$12*(1+($B$7+(C$43-$B$7)*1/5)))*$B$8)/(1+$B$47)^1)+((($F$12*(1+($B$7+(C$43-$B$7)*1/5))*(1+($B$7+(C$43-$B$7)*2/5)))*$B$8)/(1+$B$47)^2)+((($F$12*(1+($B$7+(C$43-$B$7)*1/5))*(1+($B$7+(C$43-$B$7)*2/5))*(1+($B$7+(C$43-$B$7)*3/5)))*$B$8)/(1+$B$47)^3)+((($F$12*(1+($B$7+(C$43-$B$7)*1/5))*(1+($B$7+(C$43-$B$7)*2/5))*(1+($B$7+(C$43-$B$7)*3/5))*(1+($B$7+(C$43-$B$7)*4/5)))*$B$8)/(1+$B$47)^4)+((($F$12*(1+($B$7+(C$43-$B$7)*1/5))*(1+($B$7+(C$43-$B$7)*2/5))*(1+($B$7+(C$43-$B$7)*3/5))*(1+($B$7+(C$43-$B$7)*4/5))*(1+($B$7+(C$43-$B$7)*5/5)))*$B$8)/(1+$B$47)^5)+((((($F$12*(1+($B$7+(C$43-$B$7)*1/5))*(1+($B$7+(C$43-$B$7)*2/5))*(1+($B$7+(C$43-$B$7)*3/5))*(1+($B$7+(C$43-$B$7)*4/5))*(1+($B$7+(C$43-$B$7)*5/5)))*$B$8)*(1+C$43))/($B$47-C$43))/(1+$B$47)^5))-$B$19+$B$18)/$B$20</f>
        <v/>
      </c>
      <c r="D47" s="20">
        <f>((((($F$12*(1+($B$7+(D$43-$B$7)*1/5)))*$B$8)/(1+$B$47)^1)+((($F$12*(1+($B$7+(D$43-$B$7)*1/5))*(1+($B$7+(D$43-$B$7)*2/5)))*$B$8)/(1+$B$47)^2)+((($F$12*(1+($B$7+(D$43-$B$7)*1/5))*(1+($B$7+(D$43-$B$7)*2/5))*(1+($B$7+(D$43-$B$7)*3/5)))*$B$8)/(1+$B$47)^3)+((($F$12*(1+($B$7+(D$43-$B$7)*1/5))*(1+($B$7+(D$43-$B$7)*2/5))*(1+($B$7+(D$43-$B$7)*3/5))*(1+($B$7+(D$43-$B$7)*4/5)))*$B$8)/(1+$B$47)^4)+((($F$12*(1+($B$7+(D$43-$B$7)*1/5))*(1+($B$7+(D$43-$B$7)*2/5))*(1+($B$7+(D$43-$B$7)*3/5))*(1+($B$7+(D$43-$B$7)*4/5))*(1+($B$7+(D$43-$B$7)*5/5)))*$B$8)/(1+$B$47)^5)+((((($F$12*(1+($B$7+(D$43-$B$7)*1/5))*(1+($B$7+(D$43-$B$7)*2/5))*(1+($B$7+(D$43-$B$7)*3/5))*(1+($B$7+(D$43-$B$7)*4/5))*(1+($B$7+(D$43-$B$7)*5/5)))*$B$8)*(1+D$43))/($B$47-D$43))/(1+$B$47)^5))-$B$19+$B$18)/$B$20</f>
        <v/>
      </c>
      <c r="E47" s="20">
        <f>((((($F$12*(1+($B$7+(E$43-$B$7)*1/5)))*$B$8)/(1+$B$47)^1)+((($F$12*(1+($B$7+(E$43-$B$7)*1/5))*(1+($B$7+(E$43-$B$7)*2/5)))*$B$8)/(1+$B$47)^2)+((($F$12*(1+($B$7+(E$43-$B$7)*1/5))*(1+($B$7+(E$43-$B$7)*2/5))*(1+($B$7+(E$43-$B$7)*3/5)))*$B$8)/(1+$B$47)^3)+((($F$12*(1+($B$7+(E$43-$B$7)*1/5))*(1+($B$7+(E$43-$B$7)*2/5))*(1+($B$7+(E$43-$B$7)*3/5))*(1+($B$7+(E$43-$B$7)*4/5)))*$B$8)/(1+$B$47)^4)+((($F$12*(1+($B$7+(E$43-$B$7)*1/5))*(1+($B$7+(E$43-$B$7)*2/5))*(1+($B$7+(E$43-$B$7)*3/5))*(1+($B$7+(E$43-$B$7)*4/5))*(1+($B$7+(E$43-$B$7)*5/5)))*$B$8)/(1+$B$47)^5)+((((($F$12*(1+($B$7+(E$43-$B$7)*1/5))*(1+($B$7+(E$43-$B$7)*2/5))*(1+($B$7+(E$43-$B$7)*3/5))*(1+($B$7+(E$43-$B$7)*4/5))*(1+($B$7+(E$43-$B$7)*5/5)))*$B$8)*(1+E$43))/($B$47-E$43))/(1+$B$47)^5))-$B$19+$B$18)/$B$20</f>
        <v/>
      </c>
      <c r="F47" s="20">
        <f>((((($F$12*(1+($B$7+(F$43-$B$7)*1/5)))*$B$8)/(1+$B$47)^1)+((($F$12*(1+($B$7+(F$43-$B$7)*1/5))*(1+($B$7+(F$43-$B$7)*2/5)))*$B$8)/(1+$B$47)^2)+((($F$12*(1+($B$7+(F$43-$B$7)*1/5))*(1+($B$7+(F$43-$B$7)*2/5))*(1+($B$7+(F$43-$B$7)*3/5)))*$B$8)/(1+$B$47)^3)+((($F$12*(1+($B$7+(F$43-$B$7)*1/5))*(1+($B$7+(F$43-$B$7)*2/5))*(1+($B$7+(F$43-$B$7)*3/5))*(1+($B$7+(F$43-$B$7)*4/5)))*$B$8)/(1+$B$47)^4)+((($F$12*(1+($B$7+(F$43-$B$7)*1/5))*(1+($B$7+(F$43-$B$7)*2/5))*(1+($B$7+(F$43-$B$7)*3/5))*(1+($B$7+(F$43-$B$7)*4/5))*(1+($B$7+(F$43-$B$7)*5/5)))*$B$8)/(1+$B$47)^5)+((((($F$12*(1+($B$7+(F$43-$B$7)*1/5))*(1+($B$7+(F$43-$B$7)*2/5))*(1+($B$7+(F$43-$B$7)*3/5))*(1+($B$7+(F$43-$B$7)*4/5))*(1+($B$7+(F$43-$B$7)*5/5)))*$B$8)*(1+F$43))/($B$47-F$43))/(1+$B$47)^5))-$B$19+$B$18)/$B$20</f>
        <v/>
      </c>
      <c r="G47" s="20">
        <f>((((($F$12*(1+($B$7+(G$43-$B$7)*1/5)))*$B$8)/(1+$B$47)^1)+((($F$12*(1+($B$7+(G$43-$B$7)*1/5))*(1+($B$7+(G$43-$B$7)*2/5)))*$B$8)/(1+$B$47)^2)+((($F$12*(1+($B$7+(G$43-$B$7)*1/5))*(1+($B$7+(G$43-$B$7)*2/5))*(1+($B$7+(G$43-$B$7)*3/5)))*$B$8)/(1+$B$47)^3)+((($F$12*(1+($B$7+(G$43-$B$7)*1/5))*(1+($B$7+(G$43-$B$7)*2/5))*(1+($B$7+(G$43-$B$7)*3/5))*(1+($B$7+(G$43-$B$7)*4/5)))*$B$8)/(1+$B$47)^4)+((($F$12*(1+($B$7+(G$43-$B$7)*1/5))*(1+($B$7+(G$43-$B$7)*2/5))*(1+($B$7+(G$43-$B$7)*3/5))*(1+($B$7+(G$43-$B$7)*4/5))*(1+($B$7+(G$43-$B$7)*5/5)))*$B$8)/(1+$B$47)^5)+((((($F$12*(1+($B$7+(G$43-$B$7)*1/5))*(1+($B$7+(G$43-$B$7)*2/5))*(1+($B$7+(G$43-$B$7)*3/5))*(1+($B$7+(G$43-$B$7)*4/5))*(1+($B$7+(G$43-$B$7)*5/5)))*$B$8)*(1+G$43))/($B$47-G$43))/(1+$B$47)^5))-$B$19+$B$18)/$B$20</f>
        <v/>
      </c>
    </row>
    <row r="48">
      <c r="B48" s="19" t="n">
        <v>0.12</v>
      </c>
      <c r="C48" s="20">
        <f>((((($F$12*(1+($B$7+(C$43-$B$7)*1/5)))*$B$8)/(1+$B$48)^1)+((($F$12*(1+($B$7+(C$43-$B$7)*1/5))*(1+($B$7+(C$43-$B$7)*2/5)))*$B$8)/(1+$B$48)^2)+((($F$12*(1+($B$7+(C$43-$B$7)*1/5))*(1+($B$7+(C$43-$B$7)*2/5))*(1+($B$7+(C$43-$B$7)*3/5)))*$B$8)/(1+$B$48)^3)+((($F$12*(1+($B$7+(C$43-$B$7)*1/5))*(1+($B$7+(C$43-$B$7)*2/5))*(1+($B$7+(C$43-$B$7)*3/5))*(1+($B$7+(C$43-$B$7)*4/5)))*$B$8)/(1+$B$48)^4)+((($F$12*(1+($B$7+(C$43-$B$7)*1/5))*(1+($B$7+(C$43-$B$7)*2/5))*(1+($B$7+(C$43-$B$7)*3/5))*(1+($B$7+(C$43-$B$7)*4/5))*(1+($B$7+(C$43-$B$7)*5/5)))*$B$8)/(1+$B$48)^5)+((((($F$12*(1+($B$7+(C$43-$B$7)*1/5))*(1+($B$7+(C$43-$B$7)*2/5))*(1+($B$7+(C$43-$B$7)*3/5))*(1+($B$7+(C$43-$B$7)*4/5))*(1+($B$7+(C$43-$B$7)*5/5)))*$B$8)*(1+C$43))/($B$48-C$43))/(1+$B$48)^5))-$B$19+$B$18)/$B$20</f>
        <v/>
      </c>
      <c r="D48" s="20">
        <f>((((($F$12*(1+($B$7+(D$43-$B$7)*1/5)))*$B$8)/(1+$B$48)^1)+((($F$12*(1+($B$7+(D$43-$B$7)*1/5))*(1+($B$7+(D$43-$B$7)*2/5)))*$B$8)/(1+$B$48)^2)+((($F$12*(1+($B$7+(D$43-$B$7)*1/5))*(1+($B$7+(D$43-$B$7)*2/5))*(1+($B$7+(D$43-$B$7)*3/5)))*$B$8)/(1+$B$48)^3)+((($F$12*(1+($B$7+(D$43-$B$7)*1/5))*(1+($B$7+(D$43-$B$7)*2/5))*(1+($B$7+(D$43-$B$7)*3/5))*(1+($B$7+(D$43-$B$7)*4/5)))*$B$8)/(1+$B$48)^4)+((($F$12*(1+($B$7+(D$43-$B$7)*1/5))*(1+($B$7+(D$43-$B$7)*2/5))*(1+($B$7+(D$43-$B$7)*3/5))*(1+($B$7+(D$43-$B$7)*4/5))*(1+($B$7+(D$43-$B$7)*5/5)))*$B$8)/(1+$B$48)^5)+((((($F$12*(1+($B$7+(D$43-$B$7)*1/5))*(1+($B$7+(D$43-$B$7)*2/5))*(1+($B$7+(D$43-$B$7)*3/5))*(1+($B$7+(D$43-$B$7)*4/5))*(1+($B$7+(D$43-$B$7)*5/5)))*$B$8)*(1+D$43))/($B$48-D$43))/(1+$B$48)^5))-$B$19+$B$18)/$B$20</f>
        <v/>
      </c>
      <c r="E48" s="20">
        <f>((((($F$12*(1+($B$7+(E$43-$B$7)*1/5)))*$B$8)/(1+$B$48)^1)+((($F$12*(1+($B$7+(E$43-$B$7)*1/5))*(1+($B$7+(E$43-$B$7)*2/5)))*$B$8)/(1+$B$48)^2)+((($F$12*(1+($B$7+(E$43-$B$7)*1/5))*(1+($B$7+(E$43-$B$7)*2/5))*(1+($B$7+(E$43-$B$7)*3/5)))*$B$8)/(1+$B$48)^3)+((($F$12*(1+($B$7+(E$43-$B$7)*1/5))*(1+($B$7+(E$43-$B$7)*2/5))*(1+($B$7+(E$43-$B$7)*3/5))*(1+($B$7+(E$43-$B$7)*4/5)))*$B$8)/(1+$B$48)^4)+((($F$12*(1+($B$7+(E$43-$B$7)*1/5))*(1+($B$7+(E$43-$B$7)*2/5))*(1+($B$7+(E$43-$B$7)*3/5))*(1+($B$7+(E$43-$B$7)*4/5))*(1+($B$7+(E$43-$B$7)*5/5)))*$B$8)/(1+$B$48)^5)+((((($F$12*(1+($B$7+(E$43-$B$7)*1/5))*(1+($B$7+(E$43-$B$7)*2/5))*(1+($B$7+(E$43-$B$7)*3/5))*(1+($B$7+(E$43-$B$7)*4/5))*(1+($B$7+(E$43-$B$7)*5/5)))*$B$8)*(1+E$43))/($B$48-E$43))/(1+$B$48)^5))-$B$19+$B$18)/$B$20</f>
        <v/>
      </c>
      <c r="F48" s="20">
        <f>((((($F$12*(1+($B$7+(F$43-$B$7)*1/5)))*$B$8)/(1+$B$48)^1)+((($F$12*(1+($B$7+(F$43-$B$7)*1/5))*(1+($B$7+(F$43-$B$7)*2/5)))*$B$8)/(1+$B$48)^2)+((($F$12*(1+($B$7+(F$43-$B$7)*1/5))*(1+($B$7+(F$43-$B$7)*2/5))*(1+($B$7+(F$43-$B$7)*3/5)))*$B$8)/(1+$B$48)^3)+((($F$12*(1+($B$7+(F$43-$B$7)*1/5))*(1+($B$7+(F$43-$B$7)*2/5))*(1+($B$7+(F$43-$B$7)*3/5))*(1+($B$7+(F$43-$B$7)*4/5)))*$B$8)/(1+$B$48)^4)+((($F$12*(1+($B$7+(F$43-$B$7)*1/5))*(1+($B$7+(F$43-$B$7)*2/5))*(1+($B$7+(F$43-$B$7)*3/5))*(1+($B$7+(F$43-$B$7)*4/5))*(1+($B$7+(F$43-$B$7)*5/5)))*$B$8)/(1+$B$48)^5)+((((($F$12*(1+($B$7+(F$43-$B$7)*1/5))*(1+($B$7+(F$43-$B$7)*2/5))*(1+($B$7+(F$43-$B$7)*3/5))*(1+($B$7+(F$43-$B$7)*4/5))*(1+($B$7+(F$43-$B$7)*5/5)))*$B$8)*(1+F$43))/($B$48-F$43))/(1+$B$48)^5))-$B$19+$B$18)/$B$20</f>
        <v/>
      </c>
      <c r="G48" s="20">
        <f>((((($F$12*(1+($B$7+(G$43-$B$7)*1/5)))*$B$8)/(1+$B$48)^1)+((($F$12*(1+($B$7+(G$43-$B$7)*1/5))*(1+($B$7+(G$43-$B$7)*2/5)))*$B$8)/(1+$B$48)^2)+((($F$12*(1+($B$7+(G$43-$B$7)*1/5))*(1+($B$7+(G$43-$B$7)*2/5))*(1+($B$7+(G$43-$B$7)*3/5)))*$B$8)/(1+$B$48)^3)+((($F$12*(1+($B$7+(G$43-$B$7)*1/5))*(1+($B$7+(G$43-$B$7)*2/5))*(1+($B$7+(G$43-$B$7)*3/5))*(1+($B$7+(G$43-$B$7)*4/5)))*$B$8)/(1+$B$48)^4)+((($F$12*(1+($B$7+(G$43-$B$7)*1/5))*(1+($B$7+(G$43-$B$7)*2/5))*(1+($B$7+(G$43-$B$7)*3/5))*(1+($B$7+(G$43-$B$7)*4/5))*(1+($B$7+(G$43-$B$7)*5/5)))*$B$8)/(1+$B$48)^5)+((((($F$12*(1+($B$7+(G$43-$B$7)*1/5))*(1+($B$7+(G$43-$B$7)*2/5))*(1+($B$7+(G$43-$B$7)*3/5))*(1+($B$7+(G$43-$B$7)*4/5))*(1+($B$7+(G$43-$B$7)*5/5)))*$B$8)*(1+G$43))/($B$48-G$43))/(1+$B$48)^5))-$B$19+$B$18)/$B$20</f>
        <v/>
      </c>
    </row>
    <row r="50">
      <c r="A50" s="3" t="inlineStr">
        <is>
          <t>Tornado Inputs (other variable held at its base case)</t>
        </is>
      </c>
      <c r="B50" s="12" t="n"/>
      <c r="C50" s="12" t="n"/>
      <c r="D50" s="12" t="n"/>
      <c r="E50" s="12" t="n"/>
      <c r="F50" s="12" t="n"/>
      <c r="G50" s="12" t="n"/>
    </row>
    <row r="51">
      <c r="A51" s="17" t="inlineStr">
        <is>
          <t>Factor</t>
        </is>
      </c>
      <c r="B51" s="17" t="inlineStr">
        <is>
          <t>Low</t>
        </is>
      </c>
      <c r="C51" s="17" t="inlineStr">
        <is>
          <t>High</t>
        </is>
      </c>
      <c r="D51" s="17" t="inlineStr">
        <is>
          <t>Base (chart helper)</t>
        </is>
      </c>
      <c r="E51" s="17" t="inlineStr">
        <is>
          <t>Span (chart helper)</t>
        </is>
      </c>
    </row>
    <row r="52">
      <c r="A52" s="4" t="inlineStr">
        <is>
          <t>WACC (8% → 12%)</t>
        </is>
      </c>
      <c r="B52" s="8">
        <f>E44</f>
        <v/>
      </c>
      <c r="C52" s="8">
        <f>E48</f>
        <v/>
      </c>
      <c r="D52" s="8">
        <f>MIN(B52,C52)</f>
        <v/>
      </c>
      <c r="E52" s="8">
        <f>ABS(C52-B52)</f>
        <v/>
      </c>
    </row>
    <row r="53">
      <c r="A53" s="4" t="inlineStr">
        <is>
          <t>Terminal growth (2% → 4%)</t>
        </is>
      </c>
      <c r="B53" s="8">
        <f>C46</f>
        <v/>
      </c>
      <c r="C53" s="8">
        <f>G46</f>
        <v/>
      </c>
      <c r="D53" s="8">
        <f>MIN(B53,C53)</f>
        <v/>
      </c>
      <c r="E53" s="8">
        <f>ABS(C53-B53)</f>
        <v/>
      </c>
    </row>
  </sheetData>
  <conditionalFormatting sqref="C44:G4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SNOW — Snowflake Inc.</t>
        </is>
      </c>
    </row>
    <row r="2">
      <c r="A2" s="4" t="inlineStr">
        <is>
          <t>Unlevered DCF | $ in millions except per-share and share count</t>
        </is>
      </c>
    </row>
    <row r="4">
      <c r="A4" s="3" t="inlineStr">
        <is>
          <t>Assumptions (edit the highlighted cells)</t>
        </is>
      </c>
      <c r="B4" s="12" t="n"/>
      <c r="C4" s="12" t="n"/>
      <c r="D4" s="12" t="n"/>
      <c r="E4" s="12" t="n"/>
      <c r="F4" s="12" t="n"/>
      <c r="G4" s="12" t="n"/>
    </row>
    <row r="5">
      <c r="A5" s="4" t="inlineStr">
        <is>
          <t>WACC (discount rate)</t>
        </is>
      </c>
      <c r="B5" s="13" t="n">
        <v>0.1</v>
      </c>
    </row>
    <row r="6">
      <c r="A6" s="4" t="inlineStr">
        <is>
          <t>Terminal growth rate</t>
        </is>
      </c>
      <c r="B6" s="13" t="n">
        <v>0.03</v>
      </c>
    </row>
    <row r="7">
      <c r="A7" s="4" t="inlineStr">
        <is>
          <t>Starting revenue growth rate</t>
        </is>
      </c>
      <c r="B7" s="13" t="n">
        <v>0.2916256250006894</v>
      </c>
      <c r="C7" s="2" t="inlineStr">
        <is>
          <t>default: most recent YoY revenue growth</t>
        </is>
      </c>
    </row>
    <row r="8">
      <c r="A8" s="4" t="inlineStr">
        <is>
          <t>Unlevered FCF margin (% of revenue)</t>
        </is>
      </c>
      <c r="B8" s="13" t="n">
        <v>0.2455402596500637</v>
      </c>
      <c r="C8" s="2" t="inlineStr">
        <is>
          <t>default: avg of last 2 fiscal years' FCF / revenue</t>
        </is>
      </c>
    </row>
    <row r="10">
      <c r="A10" s="3" t="inlineStr">
        <is>
          <t>Historical Trend ($ in millions)</t>
        </is>
      </c>
      <c r="B10" s="12" t="n"/>
      <c r="C10" s="12" t="n"/>
      <c r="D10" s="12" t="n"/>
      <c r="E10" s="12" t="n"/>
      <c r="F10" s="12" t="n"/>
      <c r="G10" s="12" t="n"/>
    </row>
    <row r="11">
      <c r="A11" s="4" t="inlineStr">
        <is>
          <t>Fiscal year</t>
        </is>
      </c>
      <c r="B11" s="14" t="n">
        <v>2022</v>
      </c>
      <c r="C11" s="14" t="n">
        <v>2023</v>
      </c>
      <c r="D11" s="14" t="n">
        <v>2024</v>
      </c>
      <c r="E11" s="14" t="n">
        <v>2025</v>
      </c>
      <c r="F11" s="14" t="n">
        <v>2026</v>
      </c>
    </row>
    <row r="12">
      <c r="A12" s="4" t="inlineStr">
        <is>
          <t>Revenue</t>
        </is>
      </c>
      <c r="B12" s="6" t="n">
        <v>1219.327</v>
      </c>
      <c r="C12" s="6" t="n">
        <v>2065.659</v>
      </c>
      <c r="D12" s="6" t="n">
        <v>2806.489</v>
      </c>
      <c r="E12" s="6" t="n">
        <v>3626.396</v>
      </c>
      <c r="F12" s="6" t="n">
        <v>4683.946</v>
      </c>
    </row>
    <row r="13">
      <c r="A13" s="4" t="inlineStr">
        <is>
          <t>Revenue growth %</t>
        </is>
      </c>
      <c r="C13" s="5">
        <f>C12/B12-1</f>
        <v/>
      </c>
      <c r="D13" s="5">
        <f>D12/C12-1</f>
        <v/>
      </c>
      <c r="E13" s="5">
        <f>E12/D12-1</f>
        <v/>
      </c>
      <c r="F13" s="5">
        <f>F12/E12-1</f>
        <v/>
      </c>
    </row>
    <row r="14">
      <c r="A14" s="4" t="inlineStr">
        <is>
          <t>Free cash flow</t>
        </is>
      </c>
      <c r="B14" s="6" t="n">
        <v>93.958</v>
      </c>
      <c r="C14" s="6" t="n">
        <v>520.511</v>
      </c>
      <c r="D14" s="6" t="n">
        <v>813.0359999999999</v>
      </c>
      <c r="E14" s="6" t="n">
        <v>913.485</v>
      </c>
      <c r="F14" s="6" t="n">
        <v>1120.314</v>
      </c>
    </row>
    <row r="15">
      <c r="A15" s="4" t="inlineStr">
        <is>
          <t>FCF margin %</t>
        </is>
      </c>
      <c r="B15" s="5">
        <f>B14/B12</f>
        <v/>
      </c>
      <c r="C15" s="5">
        <f>C14/C12</f>
        <v/>
      </c>
      <c r="D15" s="5">
        <f>D14/D12</f>
        <v/>
      </c>
      <c r="E15" s="5">
        <f>E14/E12</f>
        <v/>
      </c>
      <c r="F15" s="5">
        <f>F14/F12</f>
        <v/>
      </c>
    </row>
    <row r="17">
      <c r="A17" s="3" t="inlineStr">
        <is>
          <t>Balance Sheet Actuals — FY2026 ($ in millions)</t>
        </is>
      </c>
      <c r="B17" s="12" t="n"/>
      <c r="C17" s="12" t="n"/>
      <c r="D17" s="12" t="n"/>
      <c r="E17" s="12" t="n"/>
      <c r="F17" s="12" t="n"/>
      <c r="G17" s="12" t="n"/>
    </row>
    <row r="18">
      <c r="A18" s="4" t="inlineStr">
        <is>
          <t>Cash &amp; equivalents</t>
        </is>
      </c>
      <c r="B18" s="6" t="n">
        <v>2828.163</v>
      </c>
    </row>
    <row r="19">
      <c r="A19" s="4" t="inlineStr">
        <is>
          <t>Total debt</t>
        </is>
      </c>
      <c r="B19" s="6" t="n">
        <v>2279.827</v>
      </c>
    </row>
    <row r="20">
      <c r="A20" s="4" t="inlineStr">
        <is>
          <t>Diluted shares outstanding (millions)</t>
        </is>
      </c>
      <c r="B20" s="6" t="n">
        <v>337.493</v>
      </c>
    </row>
    <row r="22">
      <c r="A22" s="3" t="inlineStr">
        <is>
          <t>5-Year Projection ($ in millions)</t>
        </is>
      </c>
      <c r="B22" s="12" t="n"/>
      <c r="C22" s="12" t="n"/>
      <c r="D22" s="12" t="n"/>
      <c r="E22" s="12" t="n"/>
      <c r="F22" s="12" t="n"/>
      <c r="G22" s="12" t="n"/>
    </row>
    <row r="23">
      <c r="A23" s="4" t="inlineStr">
        <is>
          <t>Fiscal year</t>
        </is>
      </c>
      <c r="B23" s="14" t="inlineStr">
        <is>
          <t>FY2027E</t>
        </is>
      </c>
      <c r="C23" s="14" t="inlineStr">
        <is>
          <t>FY2028E</t>
        </is>
      </c>
      <c r="D23" s="14" t="inlineStr">
        <is>
          <t>FY2029E</t>
        </is>
      </c>
      <c r="E23" s="14" t="inlineStr">
        <is>
          <t>FY2030E</t>
        </is>
      </c>
      <c r="F23" s="14" t="inlineStr">
        <is>
          <t>FY2031E</t>
        </is>
      </c>
    </row>
    <row r="24">
      <c r="A24" s="4" t="inlineStr">
        <is>
          <t>Revenue growth rate</t>
        </is>
      </c>
      <c r="B24" s="5">
        <f>$B$7+($B$6-$B$7)*1/5</f>
        <v/>
      </c>
      <c r="C24" s="5">
        <f>$B$7+($B$6-$B$7)*2/5</f>
        <v/>
      </c>
      <c r="D24" s="5">
        <f>$B$7+($B$6-$B$7)*3/5</f>
        <v/>
      </c>
      <c r="E24" s="5">
        <f>$B$7+($B$6-$B$7)*4/5</f>
        <v/>
      </c>
      <c r="F24" s="5">
        <f>$B$7+($B$6-$B$7)*5/5</f>
        <v/>
      </c>
    </row>
    <row r="25">
      <c r="A25" s="4" t="inlineStr">
        <is>
          <t>Projected revenue</t>
        </is>
      </c>
      <c r="B25" s="6">
        <f>F12*(1+B24)</f>
        <v/>
      </c>
      <c r="C25" s="6">
        <f>B25*(1+C24)</f>
        <v/>
      </c>
      <c r="D25" s="6">
        <f>C25*(1+D24)</f>
        <v/>
      </c>
      <c r="E25" s="6">
        <f>D25*(1+E24)</f>
        <v/>
      </c>
      <c r="F25" s="6">
        <f>E25*(1+F24)</f>
        <v/>
      </c>
    </row>
    <row r="26">
      <c r="A26" s="4" t="inlineStr">
        <is>
          <t>FCF margin (assumption, held flat)</t>
        </is>
      </c>
      <c r="B26" s="5">
        <f>$B$8</f>
        <v/>
      </c>
      <c r="C26" s="5">
        <f>$B$8</f>
        <v/>
      </c>
      <c r="D26" s="5">
        <f>$B$8</f>
        <v/>
      </c>
      <c r="E26" s="5">
        <f>$B$8</f>
        <v/>
      </c>
      <c r="F26" s="5">
        <f>$B$8</f>
        <v/>
      </c>
    </row>
    <row r="27">
      <c r="A27" s="4" t="inlineStr">
        <is>
          <t>Projected unlevered FCF</t>
        </is>
      </c>
      <c r="B27" s="6">
        <f>B25*B26</f>
        <v/>
      </c>
      <c r="C27" s="6">
        <f>C25*C26</f>
        <v/>
      </c>
      <c r="D27" s="6">
        <f>D25*D26</f>
        <v/>
      </c>
      <c r="E27" s="6">
        <f>E25*E26</f>
        <v/>
      </c>
      <c r="F27" s="6">
        <f>F25*F26</f>
        <v/>
      </c>
    </row>
    <row r="28">
      <c r="A28" s="4" t="inlineStr">
        <is>
          <t>Discount factor</t>
        </is>
      </c>
      <c r="B28" s="15">
        <f>1/(1+$B$5)^1</f>
        <v/>
      </c>
      <c r="C28" s="15">
        <f>1/(1+$B$5)^2</f>
        <v/>
      </c>
      <c r="D28" s="15">
        <f>1/(1+$B$5)^3</f>
        <v/>
      </c>
      <c r="E28" s="15">
        <f>1/(1+$B$5)^4</f>
        <v/>
      </c>
      <c r="F28" s="15">
        <f>1/(1+$B$5)^5</f>
        <v/>
      </c>
    </row>
    <row r="29">
      <c r="A29" s="4" t="inlineStr">
        <is>
          <t>PV of FCF</t>
        </is>
      </c>
      <c r="B29" s="6">
        <f>B27*B28</f>
        <v/>
      </c>
      <c r="C29" s="6">
        <f>C27*C28</f>
        <v/>
      </c>
      <c r="D29" s="6">
        <f>D27*D28</f>
        <v/>
      </c>
      <c r="E29" s="6">
        <f>E27*E28</f>
        <v/>
      </c>
      <c r="F29" s="6">
        <f>F27*F28</f>
        <v/>
      </c>
    </row>
    <row r="31">
      <c r="A31" s="3" t="inlineStr">
        <is>
          <t>Terminal Value &amp; Valuation</t>
        </is>
      </c>
      <c r="B31" s="12" t="n"/>
      <c r="C31" s="12" t="n"/>
      <c r="D31" s="12" t="n"/>
      <c r="E31" s="12" t="n"/>
      <c r="F31" s="12" t="n"/>
      <c r="G31" s="12" t="n"/>
    </row>
    <row r="32">
      <c r="A32" s="4" t="inlineStr">
        <is>
          <t>Terminal value (end of FY2031)</t>
        </is>
      </c>
      <c r="B32" s="6">
        <f>F27*(1+$B$6)/($B$5-$B$6)</f>
        <v/>
      </c>
    </row>
    <row r="33">
      <c r="A33" s="4" t="inlineStr">
        <is>
          <t>PV of terminal value</t>
        </is>
      </c>
      <c r="B33" s="6">
        <f>B32*F28</f>
        <v/>
      </c>
    </row>
    <row r="34">
      <c r="A34" s="4" t="inlineStr">
        <is>
          <t>Sum of PV of projected FCFs</t>
        </is>
      </c>
      <c r="B34" s="6">
        <f>SUM(B29:F29)</f>
        <v/>
      </c>
    </row>
    <row r="35">
      <c r="A35" s="4" t="inlineStr">
        <is>
          <t>Enterprise value</t>
        </is>
      </c>
      <c r="B35" s="16">
        <f>B33+B34</f>
        <v/>
      </c>
    </row>
    <row r="36">
      <c r="A36" s="4" t="inlineStr">
        <is>
          <t>Less: total debt</t>
        </is>
      </c>
      <c r="B36" s="6">
        <f>-B19</f>
        <v/>
      </c>
    </row>
    <row r="37">
      <c r="A37" s="4" t="inlineStr">
        <is>
          <t>Plus: cash &amp; equivalents</t>
        </is>
      </c>
      <c r="B37" s="6">
        <f>B18</f>
        <v/>
      </c>
    </row>
    <row r="38">
      <c r="A38" s="4" t="inlineStr">
        <is>
          <t>Equity value</t>
        </is>
      </c>
      <c r="B38" s="16">
        <f>B35+B36+B37</f>
        <v/>
      </c>
    </row>
    <row r="39">
      <c r="A39" s="4" t="inlineStr">
        <is>
          <t>Diluted shares outstanding (millions)</t>
        </is>
      </c>
      <c r="B39" s="6">
        <f>B20</f>
        <v/>
      </c>
    </row>
    <row r="40">
      <c r="A40" s="4" t="inlineStr">
        <is>
          <t>Implied value per share</t>
        </is>
      </c>
      <c r="B40" s="7">
        <f>B38/B39</f>
        <v/>
      </c>
    </row>
    <row r="42">
      <c r="A42" s="3" t="inlineStr">
        <is>
          <t>Sensitivity: Implied Value/Share (WACC x Terminal Growth)</t>
        </is>
      </c>
      <c r="B42" s="12" t="n"/>
      <c r="C42" s="12" t="n"/>
      <c r="D42" s="12" t="n"/>
      <c r="E42" s="12" t="n"/>
      <c r="F42" s="12" t="n"/>
      <c r="G42" s="12" t="n"/>
    </row>
    <row r="43">
      <c r="B43" s="17" t="inlineStr">
        <is>
          <t>WACC \ Term. g</t>
        </is>
      </c>
      <c r="C43" s="18" t="n">
        <v>0.02</v>
      </c>
      <c r="D43" s="18" t="n">
        <v>0.025</v>
      </c>
      <c r="E43" s="18" t="n">
        <v>0.03</v>
      </c>
      <c r="F43" s="18" t="n">
        <v>0.035</v>
      </c>
      <c r="G43" s="18" t="n">
        <v>0.04</v>
      </c>
    </row>
    <row r="44">
      <c r="B44" s="19" t="n">
        <v>0.08</v>
      </c>
      <c r="C44" s="20">
        <f>((((($F$12*(1+($B$7+(C$43-$B$7)*1/5)))*$B$8)/(1+$B$44)^1)+((($F$12*(1+($B$7+(C$43-$B$7)*1/5))*(1+($B$7+(C$43-$B$7)*2/5)))*$B$8)/(1+$B$44)^2)+((($F$12*(1+($B$7+(C$43-$B$7)*1/5))*(1+($B$7+(C$43-$B$7)*2/5))*(1+($B$7+(C$43-$B$7)*3/5)))*$B$8)/(1+$B$44)^3)+((($F$12*(1+($B$7+(C$43-$B$7)*1/5))*(1+($B$7+(C$43-$B$7)*2/5))*(1+($B$7+(C$43-$B$7)*3/5))*(1+($B$7+(C$43-$B$7)*4/5)))*$B$8)/(1+$B$44)^4)+((($F$12*(1+($B$7+(C$43-$B$7)*1/5))*(1+($B$7+(C$43-$B$7)*2/5))*(1+($B$7+(C$43-$B$7)*3/5))*(1+($B$7+(C$43-$B$7)*4/5))*(1+($B$7+(C$43-$B$7)*5/5)))*$B$8)/(1+$B$44)^5)+((((($F$12*(1+($B$7+(C$43-$B$7)*1/5))*(1+($B$7+(C$43-$B$7)*2/5))*(1+($B$7+(C$43-$B$7)*3/5))*(1+($B$7+(C$43-$B$7)*4/5))*(1+($B$7+(C$43-$B$7)*5/5)))*$B$8)*(1+C$43))/($B$44-C$43))/(1+$B$44)^5))-$B$19+$B$18)/$B$20</f>
        <v/>
      </c>
      <c r="D44" s="20">
        <f>((((($F$12*(1+($B$7+(D$43-$B$7)*1/5)))*$B$8)/(1+$B$44)^1)+((($F$12*(1+($B$7+(D$43-$B$7)*1/5))*(1+($B$7+(D$43-$B$7)*2/5)))*$B$8)/(1+$B$44)^2)+((($F$12*(1+($B$7+(D$43-$B$7)*1/5))*(1+($B$7+(D$43-$B$7)*2/5))*(1+($B$7+(D$43-$B$7)*3/5)))*$B$8)/(1+$B$44)^3)+((($F$12*(1+($B$7+(D$43-$B$7)*1/5))*(1+($B$7+(D$43-$B$7)*2/5))*(1+($B$7+(D$43-$B$7)*3/5))*(1+($B$7+(D$43-$B$7)*4/5)))*$B$8)/(1+$B$44)^4)+((($F$12*(1+($B$7+(D$43-$B$7)*1/5))*(1+($B$7+(D$43-$B$7)*2/5))*(1+($B$7+(D$43-$B$7)*3/5))*(1+($B$7+(D$43-$B$7)*4/5))*(1+($B$7+(D$43-$B$7)*5/5)))*$B$8)/(1+$B$44)^5)+((((($F$12*(1+($B$7+(D$43-$B$7)*1/5))*(1+($B$7+(D$43-$B$7)*2/5))*(1+($B$7+(D$43-$B$7)*3/5))*(1+($B$7+(D$43-$B$7)*4/5))*(1+($B$7+(D$43-$B$7)*5/5)))*$B$8)*(1+D$43))/($B$44-D$43))/(1+$B$44)^5))-$B$19+$B$18)/$B$20</f>
        <v/>
      </c>
      <c r="E44" s="20">
        <f>((((($F$12*(1+($B$7+(E$43-$B$7)*1/5)))*$B$8)/(1+$B$44)^1)+((($F$12*(1+($B$7+(E$43-$B$7)*1/5))*(1+($B$7+(E$43-$B$7)*2/5)))*$B$8)/(1+$B$44)^2)+((($F$12*(1+($B$7+(E$43-$B$7)*1/5))*(1+($B$7+(E$43-$B$7)*2/5))*(1+($B$7+(E$43-$B$7)*3/5)))*$B$8)/(1+$B$44)^3)+((($F$12*(1+($B$7+(E$43-$B$7)*1/5))*(1+($B$7+(E$43-$B$7)*2/5))*(1+($B$7+(E$43-$B$7)*3/5))*(1+($B$7+(E$43-$B$7)*4/5)))*$B$8)/(1+$B$44)^4)+((($F$12*(1+($B$7+(E$43-$B$7)*1/5))*(1+($B$7+(E$43-$B$7)*2/5))*(1+($B$7+(E$43-$B$7)*3/5))*(1+($B$7+(E$43-$B$7)*4/5))*(1+($B$7+(E$43-$B$7)*5/5)))*$B$8)/(1+$B$44)^5)+((((($F$12*(1+($B$7+(E$43-$B$7)*1/5))*(1+($B$7+(E$43-$B$7)*2/5))*(1+($B$7+(E$43-$B$7)*3/5))*(1+($B$7+(E$43-$B$7)*4/5))*(1+($B$7+(E$43-$B$7)*5/5)))*$B$8)*(1+E$43))/($B$44-E$43))/(1+$B$44)^5))-$B$19+$B$18)/$B$20</f>
        <v/>
      </c>
      <c r="F44" s="20">
        <f>((((($F$12*(1+($B$7+(F$43-$B$7)*1/5)))*$B$8)/(1+$B$44)^1)+((($F$12*(1+($B$7+(F$43-$B$7)*1/5))*(1+($B$7+(F$43-$B$7)*2/5)))*$B$8)/(1+$B$44)^2)+((($F$12*(1+($B$7+(F$43-$B$7)*1/5))*(1+($B$7+(F$43-$B$7)*2/5))*(1+($B$7+(F$43-$B$7)*3/5)))*$B$8)/(1+$B$44)^3)+((($F$12*(1+($B$7+(F$43-$B$7)*1/5))*(1+($B$7+(F$43-$B$7)*2/5))*(1+($B$7+(F$43-$B$7)*3/5))*(1+($B$7+(F$43-$B$7)*4/5)))*$B$8)/(1+$B$44)^4)+((($F$12*(1+($B$7+(F$43-$B$7)*1/5))*(1+($B$7+(F$43-$B$7)*2/5))*(1+($B$7+(F$43-$B$7)*3/5))*(1+($B$7+(F$43-$B$7)*4/5))*(1+($B$7+(F$43-$B$7)*5/5)))*$B$8)/(1+$B$44)^5)+((((($F$12*(1+($B$7+(F$43-$B$7)*1/5))*(1+($B$7+(F$43-$B$7)*2/5))*(1+($B$7+(F$43-$B$7)*3/5))*(1+($B$7+(F$43-$B$7)*4/5))*(1+($B$7+(F$43-$B$7)*5/5)))*$B$8)*(1+F$43))/($B$44-F$43))/(1+$B$44)^5))-$B$19+$B$18)/$B$20</f>
        <v/>
      </c>
      <c r="G44" s="20">
        <f>((((($F$12*(1+($B$7+(G$43-$B$7)*1/5)))*$B$8)/(1+$B$44)^1)+((($F$12*(1+($B$7+(G$43-$B$7)*1/5))*(1+($B$7+(G$43-$B$7)*2/5)))*$B$8)/(1+$B$44)^2)+((($F$12*(1+($B$7+(G$43-$B$7)*1/5))*(1+($B$7+(G$43-$B$7)*2/5))*(1+($B$7+(G$43-$B$7)*3/5)))*$B$8)/(1+$B$44)^3)+((($F$12*(1+($B$7+(G$43-$B$7)*1/5))*(1+($B$7+(G$43-$B$7)*2/5))*(1+($B$7+(G$43-$B$7)*3/5))*(1+($B$7+(G$43-$B$7)*4/5)))*$B$8)/(1+$B$44)^4)+((($F$12*(1+($B$7+(G$43-$B$7)*1/5))*(1+($B$7+(G$43-$B$7)*2/5))*(1+($B$7+(G$43-$B$7)*3/5))*(1+($B$7+(G$43-$B$7)*4/5))*(1+($B$7+(G$43-$B$7)*5/5)))*$B$8)/(1+$B$44)^5)+((((($F$12*(1+($B$7+(G$43-$B$7)*1/5))*(1+($B$7+(G$43-$B$7)*2/5))*(1+($B$7+(G$43-$B$7)*3/5))*(1+($B$7+(G$43-$B$7)*4/5))*(1+($B$7+(G$43-$B$7)*5/5)))*$B$8)*(1+G$43))/($B$44-G$43))/(1+$B$44)^5))-$B$19+$B$18)/$B$20</f>
        <v/>
      </c>
    </row>
    <row r="45">
      <c r="B45" s="19" t="n">
        <v>0.09</v>
      </c>
      <c r="C45" s="20">
        <f>((((($F$12*(1+($B$7+(C$43-$B$7)*1/5)))*$B$8)/(1+$B$45)^1)+((($F$12*(1+($B$7+(C$43-$B$7)*1/5))*(1+($B$7+(C$43-$B$7)*2/5)))*$B$8)/(1+$B$45)^2)+((($F$12*(1+($B$7+(C$43-$B$7)*1/5))*(1+($B$7+(C$43-$B$7)*2/5))*(1+($B$7+(C$43-$B$7)*3/5)))*$B$8)/(1+$B$45)^3)+((($F$12*(1+($B$7+(C$43-$B$7)*1/5))*(1+($B$7+(C$43-$B$7)*2/5))*(1+($B$7+(C$43-$B$7)*3/5))*(1+($B$7+(C$43-$B$7)*4/5)))*$B$8)/(1+$B$45)^4)+((($F$12*(1+($B$7+(C$43-$B$7)*1/5))*(1+($B$7+(C$43-$B$7)*2/5))*(1+($B$7+(C$43-$B$7)*3/5))*(1+($B$7+(C$43-$B$7)*4/5))*(1+($B$7+(C$43-$B$7)*5/5)))*$B$8)/(1+$B$45)^5)+((((($F$12*(1+($B$7+(C$43-$B$7)*1/5))*(1+($B$7+(C$43-$B$7)*2/5))*(1+($B$7+(C$43-$B$7)*3/5))*(1+($B$7+(C$43-$B$7)*4/5))*(1+($B$7+(C$43-$B$7)*5/5)))*$B$8)*(1+C$43))/($B$45-C$43))/(1+$B$45)^5))-$B$19+$B$18)/$B$20</f>
        <v/>
      </c>
      <c r="D45" s="20">
        <f>((((($F$12*(1+($B$7+(D$43-$B$7)*1/5)))*$B$8)/(1+$B$45)^1)+((($F$12*(1+($B$7+(D$43-$B$7)*1/5))*(1+($B$7+(D$43-$B$7)*2/5)))*$B$8)/(1+$B$45)^2)+((($F$12*(1+($B$7+(D$43-$B$7)*1/5))*(1+($B$7+(D$43-$B$7)*2/5))*(1+($B$7+(D$43-$B$7)*3/5)))*$B$8)/(1+$B$45)^3)+((($F$12*(1+($B$7+(D$43-$B$7)*1/5))*(1+($B$7+(D$43-$B$7)*2/5))*(1+($B$7+(D$43-$B$7)*3/5))*(1+($B$7+(D$43-$B$7)*4/5)))*$B$8)/(1+$B$45)^4)+((($F$12*(1+($B$7+(D$43-$B$7)*1/5))*(1+($B$7+(D$43-$B$7)*2/5))*(1+($B$7+(D$43-$B$7)*3/5))*(1+($B$7+(D$43-$B$7)*4/5))*(1+($B$7+(D$43-$B$7)*5/5)))*$B$8)/(1+$B$45)^5)+((((($F$12*(1+($B$7+(D$43-$B$7)*1/5))*(1+($B$7+(D$43-$B$7)*2/5))*(1+($B$7+(D$43-$B$7)*3/5))*(1+($B$7+(D$43-$B$7)*4/5))*(1+($B$7+(D$43-$B$7)*5/5)))*$B$8)*(1+D$43))/($B$45-D$43))/(1+$B$45)^5))-$B$19+$B$18)/$B$20</f>
        <v/>
      </c>
      <c r="E45" s="20">
        <f>((((($F$12*(1+($B$7+(E$43-$B$7)*1/5)))*$B$8)/(1+$B$45)^1)+((($F$12*(1+($B$7+(E$43-$B$7)*1/5))*(1+($B$7+(E$43-$B$7)*2/5)))*$B$8)/(1+$B$45)^2)+((($F$12*(1+($B$7+(E$43-$B$7)*1/5))*(1+($B$7+(E$43-$B$7)*2/5))*(1+($B$7+(E$43-$B$7)*3/5)))*$B$8)/(1+$B$45)^3)+((($F$12*(1+($B$7+(E$43-$B$7)*1/5))*(1+($B$7+(E$43-$B$7)*2/5))*(1+($B$7+(E$43-$B$7)*3/5))*(1+($B$7+(E$43-$B$7)*4/5)))*$B$8)/(1+$B$45)^4)+((($F$12*(1+($B$7+(E$43-$B$7)*1/5))*(1+($B$7+(E$43-$B$7)*2/5))*(1+($B$7+(E$43-$B$7)*3/5))*(1+($B$7+(E$43-$B$7)*4/5))*(1+($B$7+(E$43-$B$7)*5/5)))*$B$8)/(1+$B$45)^5)+((((($F$12*(1+($B$7+(E$43-$B$7)*1/5))*(1+($B$7+(E$43-$B$7)*2/5))*(1+($B$7+(E$43-$B$7)*3/5))*(1+($B$7+(E$43-$B$7)*4/5))*(1+($B$7+(E$43-$B$7)*5/5)))*$B$8)*(1+E$43))/($B$45-E$43))/(1+$B$45)^5))-$B$19+$B$18)/$B$20</f>
        <v/>
      </c>
      <c r="F45" s="20">
        <f>((((($F$12*(1+($B$7+(F$43-$B$7)*1/5)))*$B$8)/(1+$B$45)^1)+((($F$12*(1+($B$7+(F$43-$B$7)*1/5))*(1+($B$7+(F$43-$B$7)*2/5)))*$B$8)/(1+$B$45)^2)+((($F$12*(1+($B$7+(F$43-$B$7)*1/5))*(1+($B$7+(F$43-$B$7)*2/5))*(1+($B$7+(F$43-$B$7)*3/5)))*$B$8)/(1+$B$45)^3)+((($F$12*(1+($B$7+(F$43-$B$7)*1/5))*(1+($B$7+(F$43-$B$7)*2/5))*(1+($B$7+(F$43-$B$7)*3/5))*(1+($B$7+(F$43-$B$7)*4/5)))*$B$8)/(1+$B$45)^4)+((($F$12*(1+($B$7+(F$43-$B$7)*1/5))*(1+($B$7+(F$43-$B$7)*2/5))*(1+($B$7+(F$43-$B$7)*3/5))*(1+($B$7+(F$43-$B$7)*4/5))*(1+($B$7+(F$43-$B$7)*5/5)))*$B$8)/(1+$B$45)^5)+((((($F$12*(1+($B$7+(F$43-$B$7)*1/5))*(1+($B$7+(F$43-$B$7)*2/5))*(1+($B$7+(F$43-$B$7)*3/5))*(1+($B$7+(F$43-$B$7)*4/5))*(1+($B$7+(F$43-$B$7)*5/5)))*$B$8)*(1+F$43))/($B$45-F$43))/(1+$B$45)^5))-$B$19+$B$18)/$B$20</f>
        <v/>
      </c>
      <c r="G45" s="20">
        <f>((((($F$12*(1+($B$7+(G$43-$B$7)*1/5)))*$B$8)/(1+$B$45)^1)+((($F$12*(1+($B$7+(G$43-$B$7)*1/5))*(1+($B$7+(G$43-$B$7)*2/5)))*$B$8)/(1+$B$45)^2)+((($F$12*(1+($B$7+(G$43-$B$7)*1/5))*(1+($B$7+(G$43-$B$7)*2/5))*(1+($B$7+(G$43-$B$7)*3/5)))*$B$8)/(1+$B$45)^3)+((($F$12*(1+($B$7+(G$43-$B$7)*1/5))*(1+($B$7+(G$43-$B$7)*2/5))*(1+($B$7+(G$43-$B$7)*3/5))*(1+($B$7+(G$43-$B$7)*4/5)))*$B$8)/(1+$B$45)^4)+((($F$12*(1+($B$7+(G$43-$B$7)*1/5))*(1+($B$7+(G$43-$B$7)*2/5))*(1+($B$7+(G$43-$B$7)*3/5))*(1+($B$7+(G$43-$B$7)*4/5))*(1+($B$7+(G$43-$B$7)*5/5)))*$B$8)/(1+$B$45)^5)+((((($F$12*(1+($B$7+(G$43-$B$7)*1/5))*(1+($B$7+(G$43-$B$7)*2/5))*(1+($B$7+(G$43-$B$7)*3/5))*(1+($B$7+(G$43-$B$7)*4/5))*(1+($B$7+(G$43-$B$7)*5/5)))*$B$8)*(1+G$43))/($B$45-G$43))/(1+$B$45)^5))-$B$19+$B$18)/$B$20</f>
        <v/>
      </c>
    </row>
    <row r="46">
      <c r="B46" s="19" t="n">
        <v>0.1</v>
      </c>
      <c r="C46" s="20">
        <f>((((($F$12*(1+($B$7+(C$43-$B$7)*1/5)))*$B$8)/(1+$B$46)^1)+((($F$12*(1+($B$7+(C$43-$B$7)*1/5))*(1+($B$7+(C$43-$B$7)*2/5)))*$B$8)/(1+$B$46)^2)+((($F$12*(1+($B$7+(C$43-$B$7)*1/5))*(1+($B$7+(C$43-$B$7)*2/5))*(1+($B$7+(C$43-$B$7)*3/5)))*$B$8)/(1+$B$46)^3)+((($F$12*(1+($B$7+(C$43-$B$7)*1/5))*(1+($B$7+(C$43-$B$7)*2/5))*(1+($B$7+(C$43-$B$7)*3/5))*(1+($B$7+(C$43-$B$7)*4/5)))*$B$8)/(1+$B$46)^4)+((($F$12*(1+($B$7+(C$43-$B$7)*1/5))*(1+($B$7+(C$43-$B$7)*2/5))*(1+($B$7+(C$43-$B$7)*3/5))*(1+($B$7+(C$43-$B$7)*4/5))*(1+($B$7+(C$43-$B$7)*5/5)))*$B$8)/(1+$B$46)^5)+((((($F$12*(1+($B$7+(C$43-$B$7)*1/5))*(1+($B$7+(C$43-$B$7)*2/5))*(1+($B$7+(C$43-$B$7)*3/5))*(1+($B$7+(C$43-$B$7)*4/5))*(1+($B$7+(C$43-$B$7)*5/5)))*$B$8)*(1+C$43))/($B$46-C$43))/(1+$B$46)^5))-$B$19+$B$18)/$B$20</f>
        <v/>
      </c>
      <c r="D46" s="20">
        <f>((((($F$12*(1+($B$7+(D$43-$B$7)*1/5)))*$B$8)/(1+$B$46)^1)+((($F$12*(1+($B$7+(D$43-$B$7)*1/5))*(1+($B$7+(D$43-$B$7)*2/5)))*$B$8)/(1+$B$46)^2)+((($F$12*(1+($B$7+(D$43-$B$7)*1/5))*(1+($B$7+(D$43-$B$7)*2/5))*(1+($B$7+(D$43-$B$7)*3/5)))*$B$8)/(1+$B$46)^3)+((($F$12*(1+($B$7+(D$43-$B$7)*1/5))*(1+($B$7+(D$43-$B$7)*2/5))*(1+($B$7+(D$43-$B$7)*3/5))*(1+($B$7+(D$43-$B$7)*4/5)))*$B$8)/(1+$B$46)^4)+((($F$12*(1+($B$7+(D$43-$B$7)*1/5))*(1+($B$7+(D$43-$B$7)*2/5))*(1+($B$7+(D$43-$B$7)*3/5))*(1+($B$7+(D$43-$B$7)*4/5))*(1+($B$7+(D$43-$B$7)*5/5)))*$B$8)/(1+$B$46)^5)+((((($F$12*(1+($B$7+(D$43-$B$7)*1/5))*(1+($B$7+(D$43-$B$7)*2/5))*(1+($B$7+(D$43-$B$7)*3/5))*(1+($B$7+(D$43-$B$7)*4/5))*(1+($B$7+(D$43-$B$7)*5/5)))*$B$8)*(1+D$43))/($B$46-D$43))/(1+$B$46)^5))-$B$19+$B$18)/$B$20</f>
        <v/>
      </c>
      <c r="E46" s="20">
        <f>((((($F$12*(1+($B$7+(E$43-$B$7)*1/5)))*$B$8)/(1+$B$46)^1)+((($F$12*(1+($B$7+(E$43-$B$7)*1/5))*(1+($B$7+(E$43-$B$7)*2/5)))*$B$8)/(1+$B$46)^2)+((($F$12*(1+($B$7+(E$43-$B$7)*1/5))*(1+($B$7+(E$43-$B$7)*2/5))*(1+($B$7+(E$43-$B$7)*3/5)))*$B$8)/(1+$B$46)^3)+((($F$12*(1+($B$7+(E$43-$B$7)*1/5))*(1+($B$7+(E$43-$B$7)*2/5))*(1+($B$7+(E$43-$B$7)*3/5))*(1+($B$7+(E$43-$B$7)*4/5)))*$B$8)/(1+$B$46)^4)+((($F$12*(1+($B$7+(E$43-$B$7)*1/5))*(1+($B$7+(E$43-$B$7)*2/5))*(1+($B$7+(E$43-$B$7)*3/5))*(1+($B$7+(E$43-$B$7)*4/5))*(1+($B$7+(E$43-$B$7)*5/5)))*$B$8)/(1+$B$46)^5)+((((($F$12*(1+($B$7+(E$43-$B$7)*1/5))*(1+($B$7+(E$43-$B$7)*2/5))*(1+($B$7+(E$43-$B$7)*3/5))*(1+($B$7+(E$43-$B$7)*4/5))*(1+($B$7+(E$43-$B$7)*5/5)))*$B$8)*(1+E$43))/($B$46-E$43))/(1+$B$46)^5))-$B$19+$B$18)/$B$20</f>
        <v/>
      </c>
      <c r="F46" s="20">
        <f>((((($F$12*(1+($B$7+(F$43-$B$7)*1/5)))*$B$8)/(1+$B$46)^1)+((($F$12*(1+($B$7+(F$43-$B$7)*1/5))*(1+($B$7+(F$43-$B$7)*2/5)))*$B$8)/(1+$B$46)^2)+((($F$12*(1+($B$7+(F$43-$B$7)*1/5))*(1+($B$7+(F$43-$B$7)*2/5))*(1+($B$7+(F$43-$B$7)*3/5)))*$B$8)/(1+$B$46)^3)+((($F$12*(1+($B$7+(F$43-$B$7)*1/5))*(1+($B$7+(F$43-$B$7)*2/5))*(1+($B$7+(F$43-$B$7)*3/5))*(1+($B$7+(F$43-$B$7)*4/5)))*$B$8)/(1+$B$46)^4)+((($F$12*(1+($B$7+(F$43-$B$7)*1/5))*(1+($B$7+(F$43-$B$7)*2/5))*(1+($B$7+(F$43-$B$7)*3/5))*(1+($B$7+(F$43-$B$7)*4/5))*(1+($B$7+(F$43-$B$7)*5/5)))*$B$8)/(1+$B$46)^5)+((((($F$12*(1+($B$7+(F$43-$B$7)*1/5))*(1+($B$7+(F$43-$B$7)*2/5))*(1+($B$7+(F$43-$B$7)*3/5))*(1+($B$7+(F$43-$B$7)*4/5))*(1+($B$7+(F$43-$B$7)*5/5)))*$B$8)*(1+F$43))/($B$46-F$43))/(1+$B$46)^5))-$B$19+$B$18)/$B$20</f>
        <v/>
      </c>
      <c r="G46" s="20">
        <f>((((($F$12*(1+($B$7+(G$43-$B$7)*1/5)))*$B$8)/(1+$B$46)^1)+((($F$12*(1+($B$7+(G$43-$B$7)*1/5))*(1+($B$7+(G$43-$B$7)*2/5)))*$B$8)/(1+$B$46)^2)+((($F$12*(1+($B$7+(G$43-$B$7)*1/5))*(1+($B$7+(G$43-$B$7)*2/5))*(1+($B$7+(G$43-$B$7)*3/5)))*$B$8)/(1+$B$46)^3)+((($F$12*(1+($B$7+(G$43-$B$7)*1/5))*(1+($B$7+(G$43-$B$7)*2/5))*(1+($B$7+(G$43-$B$7)*3/5))*(1+($B$7+(G$43-$B$7)*4/5)))*$B$8)/(1+$B$46)^4)+((($F$12*(1+($B$7+(G$43-$B$7)*1/5))*(1+($B$7+(G$43-$B$7)*2/5))*(1+($B$7+(G$43-$B$7)*3/5))*(1+($B$7+(G$43-$B$7)*4/5))*(1+($B$7+(G$43-$B$7)*5/5)))*$B$8)/(1+$B$46)^5)+((((($F$12*(1+($B$7+(G$43-$B$7)*1/5))*(1+($B$7+(G$43-$B$7)*2/5))*(1+($B$7+(G$43-$B$7)*3/5))*(1+($B$7+(G$43-$B$7)*4/5))*(1+($B$7+(G$43-$B$7)*5/5)))*$B$8)*(1+G$43))/($B$46-G$43))/(1+$B$46)^5))-$B$19+$B$18)/$B$20</f>
        <v/>
      </c>
    </row>
    <row r="47">
      <c r="B47" s="19" t="n">
        <v>0.11</v>
      </c>
      <c r="C47" s="20">
        <f>((((($F$12*(1+($B$7+(C$43-$B$7)*1/5)))*$B$8)/(1+$B$47)^1)+((($F$12*(1+($B$7+(C$43-$B$7)*1/5))*(1+($B$7+(C$43-$B$7)*2/5)))*$B$8)/(1+$B$47)^2)+((($F$12*(1+($B$7+(C$43-$B$7)*1/5))*(1+($B$7+(C$43-$B$7)*2/5))*(1+($B$7+(C$43-$B$7)*3/5)))*$B$8)/(1+$B$47)^3)+((($F$12*(1+($B$7+(C$43-$B$7)*1/5))*(1+($B$7+(C$43-$B$7)*2/5))*(1+($B$7+(C$43-$B$7)*3/5))*(1+($B$7+(C$43-$B$7)*4/5)))*$B$8)/(1+$B$47)^4)+((($F$12*(1+($B$7+(C$43-$B$7)*1/5))*(1+($B$7+(C$43-$B$7)*2/5))*(1+($B$7+(C$43-$B$7)*3/5))*(1+($B$7+(C$43-$B$7)*4/5))*(1+($B$7+(C$43-$B$7)*5/5)))*$B$8)/(1+$B$47)^5)+((((($F$12*(1+($B$7+(C$43-$B$7)*1/5))*(1+($B$7+(C$43-$B$7)*2/5))*(1+($B$7+(C$43-$B$7)*3/5))*(1+($B$7+(C$43-$B$7)*4/5))*(1+($B$7+(C$43-$B$7)*5/5)))*$B$8)*(1+C$43))/($B$47-C$43))/(1+$B$47)^5))-$B$19+$B$18)/$B$20</f>
        <v/>
      </c>
      <c r="D47" s="20">
        <f>((((($F$12*(1+($B$7+(D$43-$B$7)*1/5)))*$B$8)/(1+$B$47)^1)+((($F$12*(1+($B$7+(D$43-$B$7)*1/5))*(1+($B$7+(D$43-$B$7)*2/5)))*$B$8)/(1+$B$47)^2)+((($F$12*(1+($B$7+(D$43-$B$7)*1/5))*(1+($B$7+(D$43-$B$7)*2/5))*(1+($B$7+(D$43-$B$7)*3/5)))*$B$8)/(1+$B$47)^3)+((($F$12*(1+($B$7+(D$43-$B$7)*1/5))*(1+($B$7+(D$43-$B$7)*2/5))*(1+($B$7+(D$43-$B$7)*3/5))*(1+($B$7+(D$43-$B$7)*4/5)))*$B$8)/(1+$B$47)^4)+((($F$12*(1+($B$7+(D$43-$B$7)*1/5))*(1+($B$7+(D$43-$B$7)*2/5))*(1+($B$7+(D$43-$B$7)*3/5))*(1+($B$7+(D$43-$B$7)*4/5))*(1+($B$7+(D$43-$B$7)*5/5)))*$B$8)/(1+$B$47)^5)+((((($F$12*(1+($B$7+(D$43-$B$7)*1/5))*(1+($B$7+(D$43-$B$7)*2/5))*(1+($B$7+(D$43-$B$7)*3/5))*(1+($B$7+(D$43-$B$7)*4/5))*(1+($B$7+(D$43-$B$7)*5/5)))*$B$8)*(1+D$43))/($B$47-D$43))/(1+$B$47)^5))-$B$19+$B$18)/$B$20</f>
        <v/>
      </c>
      <c r="E47" s="20">
        <f>((((($F$12*(1+($B$7+(E$43-$B$7)*1/5)))*$B$8)/(1+$B$47)^1)+((($F$12*(1+($B$7+(E$43-$B$7)*1/5))*(1+($B$7+(E$43-$B$7)*2/5)))*$B$8)/(1+$B$47)^2)+((($F$12*(1+($B$7+(E$43-$B$7)*1/5))*(1+($B$7+(E$43-$B$7)*2/5))*(1+($B$7+(E$43-$B$7)*3/5)))*$B$8)/(1+$B$47)^3)+((($F$12*(1+($B$7+(E$43-$B$7)*1/5))*(1+($B$7+(E$43-$B$7)*2/5))*(1+($B$7+(E$43-$B$7)*3/5))*(1+($B$7+(E$43-$B$7)*4/5)))*$B$8)/(1+$B$47)^4)+((($F$12*(1+($B$7+(E$43-$B$7)*1/5))*(1+($B$7+(E$43-$B$7)*2/5))*(1+($B$7+(E$43-$B$7)*3/5))*(1+($B$7+(E$43-$B$7)*4/5))*(1+($B$7+(E$43-$B$7)*5/5)))*$B$8)/(1+$B$47)^5)+((((($F$12*(1+($B$7+(E$43-$B$7)*1/5))*(1+($B$7+(E$43-$B$7)*2/5))*(1+($B$7+(E$43-$B$7)*3/5))*(1+($B$7+(E$43-$B$7)*4/5))*(1+($B$7+(E$43-$B$7)*5/5)))*$B$8)*(1+E$43))/($B$47-E$43))/(1+$B$47)^5))-$B$19+$B$18)/$B$20</f>
        <v/>
      </c>
      <c r="F47" s="20">
        <f>((((($F$12*(1+($B$7+(F$43-$B$7)*1/5)))*$B$8)/(1+$B$47)^1)+((($F$12*(1+($B$7+(F$43-$B$7)*1/5))*(1+($B$7+(F$43-$B$7)*2/5)))*$B$8)/(1+$B$47)^2)+((($F$12*(1+($B$7+(F$43-$B$7)*1/5))*(1+($B$7+(F$43-$B$7)*2/5))*(1+($B$7+(F$43-$B$7)*3/5)))*$B$8)/(1+$B$47)^3)+((($F$12*(1+($B$7+(F$43-$B$7)*1/5))*(1+($B$7+(F$43-$B$7)*2/5))*(1+($B$7+(F$43-$B$7)*3/5))*(1+($B$7+(F$43-$B$7)*4/5)))*$B$8)/(1+$B$47)^4)+((($F$12*(1+($B$7+(F$43-$B$7)*1/5))*(1+($B$7+(F$43-$B$7)*2/5))*(1+($B$7+(F$43-$B$7)*3/5))*(1+($B$7+(F$43-$B$7)*4/5))*(1+($B$7+(F$43-$B$7)*5/5)))*$B$8)/(1+$B$47)^5)+((((($F$12*(1+($B$7+(F$43-$B$7)*1/5))*(1+($B$7+(F$43-$B$7)*2/5))*(1+($B$7+(F$43-$B$7)*3/5))*(1+($B$7+(F$43-$B$7)*4/5))*(1+($B$7+(F$43-$B$7)*5/5)))*$B$8)*(1+F$43))/($B$47-F$43))/(1+$B$47)^5))-$B$19+$B$18)/$B$20</f>
        <v/>
      </c>
      <c r="G47" s="20">
        <f>((((($F$12*(1+($B$7+(G$43-$B$7)*1/5)))*$B$8)/(1+$B$47)^1)+((($F$12*(1+($B$7+(G$43-$B$7)*1/5))*(1+($B$7+(G$43-$B$7)*2/5)))*$B$8)/(1+$B$47)^2)+((($F$12*(1+($B$7+(G$43-$B$7)*1/5))*(1+($B$7+(G$43-$B$7)*2/5))*(1+($B$7+(G$43-$B$7)*3/5)))*$B$8)/(1+$B$47)^3)+((($F$12*(1+($B$7+(G$43-$B$7)*1/5))*(1+($B$7+(G$43-$B$7)*2/5))*(1+($B$7+(G$43-$B$7)*3/5))*(1+($B$7+(G$43-$B$7)*4/5)))*$B$8)/(1+$B$47)^4)+((($F$12*(1+($B$7+(G$43-$B$7)*1/5))*(1+($B$7+(G$43-$B$7)*2/5))*(1+($B$7+(G$43-$B$7)*3/5))*(1+($B$7+(G$43-$B$7)*4/5))*(1+($B$7+(G$43-$B$7)*5/5)))*$B$8)/(1+$B$47)^5)+((((($F$12*(1+($B$7+(G$43-$B$7)*1/5))*(1+($B$7+(G$43-$B$7)*2/5))*(1+($B$7+(G$43-$B$7)*3/5))*(1+($B$7+(G$43-$B$7)*4/5))*(1+($B$7+(G$43-$B$7)*5/5)))*$B$8)*(1+G$43))/($B$47-G$43))/(1+$B$47)^5))-$B$19+$B$18)/$B$20</f>
        <v/>
      </c>
    </row>
    <row r="48">
      <c r="B48" s="19" t="n">
        <v>0.12</v>
      </c>
      <c r="C48" s="20">
        <f>((((($F$12*(1+($B$7+(C$43-$B$7)*1/5)))*$B$8)/(1+$B$48)^1)+((($F$12*(1+($B$7+(C$43-$B$7)*1/5))*(1+($B$7+(C$43-$B$7)*2/5)))*$B$8)/(1+$B$48)^2)+((($F$12*(1+($B$7+(C$43-$B$7)*1/5))*(1+($B$7+(C$43-$B$7)*2/5))*(1+($B$7+(C$43-$B$7)*3/5)))*$B$8)/(1+$B$48)^3)+((($F$12*(1+($B$7+(C$43-$B$7)*1/5))*(1+($B$7+(C$43-$B$7)*2/5))*(1+($B$7+(C$43-$B$7)*3/5))*(1+($B$7+(C$43-$B$7)*4/5)))*$B$8)/(1+$B$48)^4)+((($F$12*(1+($B$7+(C$43-$B$7)*1/5))*(1+($B$7+(C$43-$B$7)*2/5))*(1+($B$7+(C$43-$B$7)*3/5))*(1+($B$7+(C$43-$B$7)*4/5))*(1+($B$7+(C$43-$B$7)*5/5)))*$B$8)/(1+$B$48)^5)+((((($F$12*(1+($B$7+(C$43-$B$7)*1/5))*(1+($B$7+(C$43-$B$7)*2/5))*(1+($B$7+(C$43-$B$7)*3/5))*(1+($B$7+(C$43-$B$7)*4/5))*(1+($B$7+(C$43-$B$7)*5/5)))*$B$8)*(1+C$43))/($B$48-C$43))/(1+$B$48)^5))-$B$19+$B$18)/$B$20</f>
        <v/>
      </c>
      <c r="D48" s="20">
        <f>((((($F$12*(1+($B$7+(D$43-$B$7)*1/5)))*$B$8)/(1+$B$48)^1)+((($F$12*(1+($B$7+(D$43-$B$7)*1/5))*(1+($B$7+(D$43-$B$7)*2/5)))*$B$8)/(1+$B$48)^2)+((($F$12*(1+($B$7+(D$43-$B$7)*1/5))*(1+($B$7+(D$43-$B$7)*2/5))*(1+($B$7+(D$43-$B$7)*3/5)))*$B$8)/(1+$B$48)^3)+((($F$12*(1+($B$7+(D$43-$B$7)*1/5))*(1+($B$7+(D$43-$B$7)*2/5))*(1+($B$7+(D$43-$B$7)*3/5))*(1+($B$7+(D$43-$B$7)*4/5)))*$B$8)/(1+$B$48)^4)+((($F$12*(1+($B$7+(D$43-$B$7)*1/5))*(1+($B$7+(D$43-$B$7)*2/5))*(1+($B$7+(D$43-$B$7)*3/5))*(1+($B$7+(D$43-$B$7)*4/5))*(1+($B$7+(D$43-$B$7)*5/5)))*$B$8)/(1+$B$48)^5)+((((($F$12*(1+($B$7+(D$43-$B$7)*1/5))*(1+($B$7+(D$43-$B$7)*2/5))*(1+($B$7+(D$43-$B$7)*3/5))*(1+($B$7+(D$43-$B$7)*4/5))*(1+($B$7+(D$43-$B$7)*5/5)))*$B$8)*(1+D$43))/($B$48-D$43))/(1+$B$48)^5))-$B$19+$B$18)/$B$20</f>
        <v/>
      </c>
      <c r="E48" s="20">
        <f>((((($F$12*(1+($B$7+(E$43-$B$7)*1/5)))*$B$8)/(1+$B$48)^1)+((($F$12*(1+($B$7+(E$43-$B$7)*1/5))*(1+($B$7+(E$43-$B$7)*2/5)))*$B$8)/(1+$B$48)^2)+((($F$12*(1+($B$7+(E$43-$B$7)*1/5))*(1+($B$7+(E$43-$B$7)*2/5))*(1+($B$7+(E$43-$B$7)*3/5)))*$B$8)/(1+$B$48)^3)+((($F$12*(1+($B$7+(E$43-$B$7)*1/5))*(1+($B$7+(E$43-$B$7)*2/5))*(1+($B$7+(E$43-$B$7)*3/5))*(1+($B$7+(E$43-$B$7)*4/5)))*$B$8)/(1+$B$48)^4)+((($F$12*(1+($B$7+(E$43-$B$7)*1/5))*(1+($B$7+(E$43-$B$7)*2/5))*(1+($B$7+(E$43-$B$7)*3/5))*(1+($B$7+(E$43-$B$7)*4/5))*(1+($B$7+(E$43-$B$7)*5/5)))*$B$8)/(1+$B$48)^5)+((((($F$12*(1+($B$7+(E$43-$B$7)*1/5))*(1+($B$7+(E$43-$B$7)*2/5))*(1+($B$7+(E$43-$B$7)*3/5))*(1+($B$7+(E$43-$B$7)*4/5))*(1+($B$7+(E$43-$B$7)*5/5)))*$B$8)*(1+E$43))/($B$48-E$43))/(1+$B$48)^5))-$B$19+$B$18)/$B$20</f>
        <v/>
      </c>
      <c r="F48" s="20">
        <f>((((($F$12*(1+($B$7+(F$43-$B$7)*1/5)))*$B$8)/(1+$B$48)^1)+((($F$12*(1+($B$7+(F$43-$B$7)*1/5))*(1+($B$7+(F$43-$B$7)*2/5)))*$B$8)/(1+$B$48)^2)+((($F$12*(1+($B$7+(F$43-$B$7)*1/5))*(1+($B$7+(F$43-$B$7)*2/5))*(1+($B$7+(F$43-$B$7)*3/5)))*$B$8)/(1+$B$48)^3)+((($F$12*(1+($B$7+(F$43-$B$7)*1/5))*(1+($B$7+(F$43-$B$7)*2/5))*(1+($B$7+(F$43-$B$7)*3/5))*(1+($B$7+(F$43-$B$7)*4/5)))*$B$8)/(1+$B$48)^4)+((($F$12*(1+($B$7+(F$43-$B$7)*1/5))*(1+($B$7+(F$43-$B$7)*2/5))*(1+($B$7+(F$43-$B$7)*3/5))*(1+($B$7+(F$43-$B$7)*4/5))*(1+($B$7+(F$43-$B$7)*5/5)))*$B$8)/(1+$B$48)^5)+((((($F$12*(1+($B$7+(F$43-$B$7)*1/5))*(1+($B$7+(F$43-$B$7)*2/5))*(1+($B$7+(F$43-$B$7)*3/5))*(1+($B$7+(F$43-$B$7)*4/5))*(1+($B$7+(F$43-$B$7)*5/5)))*$B$8)*(1+F$43))/($B$48-F$43))/(1+$B$48)^5))-$B$19+$B$18)/$B$20</f>
        <v/>
      </c>
      <c r="G48" s="20">
        <f>((((($F$12*(1+($B$7+(G$43-$B$7)*1/5)))*$B$8)/(1+$B$48)^1)+((($F$12*(1+($B$7+(G$43-$B$7)*1/5))*(1+($B$7+(G$43-$B$7)*2/5)))*$B$8)/(1+$B$48)^2)+((($F$12*(1+($B$7+(G$43-$B$7)*1/5))*(1+($B$7+(G$43-$B$7)*2/5))*(1+($B$7+(G$43-$B$7)*3/5)))*$B$8)/(1+$B$48)^3)+((($F$12*(1+($B$7+(G$43-$B$7)*1/5))*(1+($B$7+(G$43-$B$7)*2/5))*(1+($B$7+(G$43-$B$7)*3/5))*(1+($B$7+(G$43-$B$7)*4/5)))*$B$8)/(1+$B$48)^4)+((($F$12*(1+($B$7+(G$43-$B$7)*1/5))*(1+($B$7+(G$43-$B$7)*2/5))*(1+($B$7+(G$43-$B$7)*3/5))*(1+($B$7+(G$43-$B$7)*4/5))*(1+($B$7+(G$43-$B$7)*5/5)))*$B$8)/(1+$B$48)^5)+((((($F$12*(1+($B$7+(G$43-$B$7)*1/5))*(1+($B$7+(G$43-$B$7)*2/5))*(1+($B$7+(G$43-$B$7)*3/5))*(1+($B$7+(G$43-$B$7)*4/5))*(1+($B$7+(G$43-$B$7)*5/5)))*$B$8)*(1+G$43))/($B$48-G$43))/(1+$B$48)^5))-$B$19+$B$18)/$B$20</f>
        <v/>
      </c>
    </row>
    <row r="50">
      <c r="A50" s="3" t="inlineStr">
        <is>
          <t>Tornado Inputs (other variable held at its base case)</t>
        </is>
      </c>
      <c r="B50" s="12" t="n"/>
      <c r="C50" s="12" t="n"/>
      <c r="D50" s="12" t="n"/>
      <c r="E50" s="12" t="n"/>
      <c r="F50" s="12" t="n"/>
      <c r="G50" s="12" t="n"/>
    </row>
    <row r="51">
      <c r="A51" s="17" t="inlineStr">
        <is>
          <t>Factor</t>
        </is>
      </c>
      <c r="B51" s="17" t="inlineStr">
        <is>
          <t>Low</t>
        </is>
      </c>
      <c r="C51" s="17" t="inlineStr">
        <is>
          <t>High</t>
        </is>
      </c>
      <c r="D51" s="17" t="inlineStr">
        <is>
          <t>Base (chart helper)</t>
        </is>
      </c>
      <c r="E51" s="17" t="inlineStr">
        <is>
          <t>Span (chart helper)</t>
        </is>
      </c>
    </row>
    <row r="52">
      <c r="A52" s="4" t="inlineStr">
        <is>
          <t>WACC (8% → 12%)</t>
        </is>
      </c>
      <c r="B52" s="8">
        <f>E44</f>
        <v/>
      </c>
      <c r="C52" s="8">
        <f>E48</f>
        <v/>
      </c>
      <c r="D52" s="8">
        <f>MIN(B52,C52)</f>
        <v/>
      </c>
      <c r="E52" s="8">
        <f>ABS(C52-B52)</f>
        <v/>
      </c>
    </row>
    <row r="53">
      <c r="A53" s="4" t="inlineStr">
        <is>
          <t>Terminal growth (2% → 4%)</t>
        </is>
      </c>
      <c r="B53" s="8">
        <f>C46</f>
        <v/>
      </c>
      <c r="C53" s="8">
        <f>G46</f>
        <v/>
      </c>
      <c r="D53" s="8">
        <f>MIN(B53,C53)</f>
        <v/>
      </c>
      <c r="E53" s="8">
        <f>ABS(C53-B53)</f>
        <v/>
      </c>
    </row>
  </sheetData>
  <conditionalFormatting sqref="C44:G4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ZS — Zscaler, Inc.</t>
        </is>
      </c>
    </row>
    <row r="2">
      <c r="A2" s="4" t="inlineStr">
        <is>
          <t>Unlevered DCF | $ in millions except per-share and share count</t>
        </is>
      </c>
    </row>
    <row r="4">
      <c r="A4" s="3" t="inlineStr">
        <is>
          <t>Assumptions (edit the highlighted cells)</t>
        </is>
      </c>
      <c r="B4" s="12" t="n"/>
      <c r="C4" s="12" t="n"/>
      <c r="D4" s="12" t="n"/>
      <c r="E4" s="12" t="n"/>
      <c r="F4" s="12" t="n"/>
      <c r="G4" s="12" t="n"/>
    </row>
    <row r="5">
      <c r="A5" s="4" t="inlineStr">
        <is>
          <t>WACC (discount rate)</t>
        </is>
      </c>
      <c r="B5" s="13" t="n">
        <v>0.1</v>
      </c>
    </row>
    <row r="6">
      <c r="A6" s="4" t="inlineStr">
        <is>
          <t>Terminal growth rate</t>
        </is>
      </c>
      <c r="B6" s="13" t="n">
        <v>0.03</v>
      </c>
    </row>
    <row r="7">
      <c r="A7" s="4" t="inlineStr">
        <is>
          <t>Starting revenue growth rate</t>
        </is>
      </c>
      <c r="B7" s="13" t="n">
        <v>0.2331168744300021</v>
      </c>
      <c r="C7" s="2" t="inlineStr">
        <is>
          <t>default: most recent YoY revenue growth</t>
        </is>
      </c>
    </row>
    <row r="8">
      <c r="A8" s="4" t="inlineStr">
        <is>
          <t>Unlevered FCF margin (% of revenue)</t>
        </is>
      </c>
      <c r="B8" s="13" t="n">
        <v>0.2976954525743662</v>
      </c>
      <c r="C8" s="2" t="inlineStr">
        <is>
          <t>default: avg of last 2 fiscal years' FCF / revenue</t>
        </is>
      </c>
    </row>
    <row r="10">
      <c r="A10" s="3" t="inlineStr">
        <is>
          <t>Historical Trend ($ in millions)</t>
        </is>
      </c>
      <c r="B10" s="12" t="n"/>
      <c r="C10" s="12" t="n"/>
      <c r="D10" s="12" t="n"/>
      <c r="E10" s="12" t="n"/>
      <c r="F10" s="12" t="n"/>
      <c r="G10" s="12" t="n"/>
    </row>
    <row r="11">
      <c r="A11" s="4" t="inlineStr">
        <is>
          <t>Fiscal year</t>
        </is>
      </c>
      <c r="B11" s="14" t="n">
        <v>2021</v>
      </c>
      <c r="C11" s="14" t="n">
        <v>2022</v>
      </c>
      <c r="D11" s="14" t="n">
        <v>2023</v>
      </c>
      <c r="E11" s="14" t="n">
        <v>2024</v>
      </c>
      <c r="F11" s="14" t="n">
        <v>2025</v>
      </c>
    </row>
    <row r="12">
      <c r="A12" s="4" t="inlineStr">
        <is>
          <t>Revenue</t>
        </is>
      </c>
      <c r="B12" s="6" t="n">
        <v>673.1</v>
      </c>
      <c r="C12" s="6" t="n">
        <v>1090.946</v>
      </c>
      <c r="D12" s="6" t="n">
        <v>1616.952</v>
      </c>
      <c r="E12" s="6" t="n">
        <v>2167.771</v>
      </c>
      <c r="F12" s="6" t="n">
        <v>2673.115</v>
      </c>
    </row>
    <row r="13">
      <c r="A13" s="4" t="inlineStr">
        <is>
          <t>Revenue growth %</t>
        </is>
      </c>
      <c r="C13" s="5">
        <f>C12/B12-1</f>
        <v/>
      </c>
      <c r="D13" s="5">
        <f>D12/C12-1</f>
        <v/>
      </c>
      <c r="E13" s="5">
        <f>E12/D12-1</f>
        <v/>
      </c>
      <c r="F13" s="5">
        <f>F12/E12-1</f>
        <v/>
      </c>
    </row>
    <row r="14">
      <c r="A14" s="4" t="inlineStr">
        <is>
          <t>Free cash flow</t>
        </is>
      </c>
      <c r="B14" s="6" t="n">
        <v>153.875</v>
      </c>
      <c r="C14" s="6" t="n">
        <v>252.616</v>
      </c>
      <c r="D14" s="6" t="n">
        <v>365.146</v>
      </c>
      <c r="E14" s="6" t="n">
        <v>635.258</v>
      </c>
      <c r="F14" s="6" t="n">
        <v>808.201</v>
      </c>
    </row>
    <row r="15">
      <c r="A15" s="4" t="inlineStr">
        <is>
          <t>FCF margin %</t>
        </is>
      </c>
      <c r="B15" s="5">
        <f>B14/B12</f>
        <v/>
      </c>
      <c r="C15" s="5">
        <f>C14/C12</f>
        <v/>
      </c>
      <c r="D15" s="5">
        <f>D14/D12</f>
        <v/>
      </c>
      <c r="E15" s="5">
        <f>E14/E12</f>
        <v/>
      </c>
      <c r="F15" s="5">
        <f>F14/F12</f>
        <v/>
      </c>
    </row>
    <row r="17">
      <c r="A17" s="3" t="inlineStr">
        <is>
          <t>Balance Sheet Actuals — FY2025 ($ in millions)</t>
        </is>
      </c>
      <c r="B17" s="12" t="n"/>
      <c r="C17" s="12" t="n"/>
      <c r="D17" s="12" t="n"/>
      <c r="E17" s="12" t="n"/>
      <c r="F17" s="12" t="n"/>
      <c r="G17" s="12" t="n"/>
    </row>
    <row r="18">
      <c r="A18" s="4" t="inlineStr">
        <is>
          <t>Cash &amp; equivalents</t>
        </is>
      </c>
      <c r="B18" s="6" t="n">
        <v>2389.023</v>
      </c>
    </row>
    <row r="19">
      <c r="A19" s="4" t="inlineStr">
        <is>
          <t>Total debt</t>
        </is>
      </c>
      <c r="B19" s="6" t="n">
        <v>1700.727</v>
      </c>
    </row>
    <row r="20">
      <c r="A20" s="4" t="inlineStr">
        <is>
          <t>Diluted shares outstanding (millions)</t>
        </is>
      </c>
      <c r="B20" s="6" t="n">
        <v>154.404</v>
      </c>
    </row>
    <row r="22">
      <c r="A22" s="3" t="inlineStr">
        <is>
          <t>5-Year Projection ($ in millions)</t>
        </is>
      </c>
      <c r="B22" s="12" t="n"/>
      <c r="C22" s="12" t="n"/>
      <c r="D22" s="12" t="n"/>
      <c r="E22" s="12" t="n"/>
      <c r="F22" s="12" t="n"/>
      <c r="G22" s="12" t="n"/>
    </row>
    <row r="23">
      <c r="A23" s="4" t="inlineStr">
        <is>
          <t>Fiscal year</t>
        </is>
      </c>
      <c r="B23" s="14" t="inlineStr">
        <is>
          <t>FY2026E</t>
        </is>
      </c>
      <c r="C23" s="14" t="inlineStr">
        <is>
          <t>FY2027E</t>
        </is>
      </c>
      <c r="D23" s="14" t="inlineStr">
        <is>
          <t>FY2028E</t>
        </is>
      </c>
      <c r="E23" s="14" t="inlineStr">
        <is>
          <t>FY2029E</t>
        </is>
      </c>
      <c r="F23" s="14" t="inlineStr">
        <is>
          <t>FY2030E</t>
        </is>
      </c>
    </row>
    <row r="24">
      <c r="A24" s="4" t="inlineStr">
        <is>
          <t>Revenue growth rate</t>
        </is>
      </c>
      <c r="B24" s="5">
        <f>$B$7+($B$6-$B$7)*1/5</f>
        <v/>
      </c>
      <c r="C24" s="5">
        <f>$B$7+($B$6-$B$7)*2/5</f>
        <v/>
      </c>
      <c r="D24" s="5">
        <f>$B$7+($B$6-$B$7)*3/5</f>
        <v/>
      </c>
      <c r="E24" s="5">
        <f>$B$7+($B$6-$B$7)*4/5</f>
        <v/>
      </c>
      <c r="F24" s="5">
        <f>$B$7+($B$6-$B$7)*5/5</f>
        <v/>
      </c>
    </row>
    <row r="25">
      <c r="A25" s="4" t="inlineStr">
        <is>
          <t>Projected revenue</t>
        </is>
      </c>
      <c r="B25" s="6">
        <f>F12*(1+B24)</f>
        <v/>
      </c>
      <c r="C25" s="6">
        <f>B25*(1+C24)</f>
        <v/>
      </c>
      <c r="D25" s="6">
        <f>C25*(1+D24)</f>
        <v/>
      </c>
      <c r="E25" s="6">
        <f>D25*(1+E24)</f>
        <v/>
      </c>
      <c r="F25" s="6">
        <f>E25*(1+F24)</f>
        <v/>
      </c>
    </row>
    <row r="26">
      <c r="A26" s="4" t="inlineStr">
        <is>
          <t>FCF margin (assumption, held flat)</t>
        </is>
      </c>
      <c r="B26" s="5">
        <f>$B$8</f>
        <v/>
      </c>
      <c r="C26" s="5">
        <f>$B$8</f>
        <v/>
      </c>
      <c r="D26" s="5">
        <f>$B$8</f>
        <v/>
      </c>
      <c r="E26" s="5">
        <f>$B$8</f>
        <v/>
      </c>
      <c r="F26" s="5">
        <f>$B$8</f>
        <v/>
      </c>
    </row>
    <row r="27">
      <c r="A27" s="4" t="inlineStr">
        <is>
          <t>Projected unlevered FCF</t>
        </is>
      </c>
      <c r="B27" s="6">
        <f>B25*B26</f>
        <v/>
      </c>
      <c r="C27" s="6">
        <f>C25*C26</f>
        <v/>
      </c>
      <c r="D27" s="6">
        <f>D25*D26</f>
        <v/>
      </c>
      <c r="E27" s="6">
        <f>E25*E26</f>
        <v/>
      </c>
      <c r="F27" s="6">
        <f>F25*F26</f>
        <v/>
      </c>
    </row>
    <row r="28">
      <c r="A28" s="4" t="inlineStr">
        <is>
          <t>Discount factor</t>
        </is>
      </c>
      <c r="B28" s="15">
        <f>1/(1+$B$5)^1</f>
        <v/>
      </c>
      <c r="C28" s="15">
        <f>1/(1+$B$5)^2</f>
        <v/>
      </c>
      <c r="D28" s="15">
        <f>1/(1+$B$5)^3</f>
        <v/>
      </c>
      <c r="E28" s="15">
        <f>1/(1+$B$5)^4</f>
        <v/>
      </c>
      <c r="F28" s="15">
        <f>1/(1+$B$5)^5</f>
        <v/>
      </c>
    </row>
    <row r="29">
      <c r="A29" s="4" t="inlineStr">
        <is>
          <t>PV of FCF</t>
        </is>
      </c>
      <c r="B29" s="6">
        <f>B27*B28</f>
        <v/>
      </c>
      <c r="C29" s="6">
        <f>C27*C28</f>
        <v/>
      </c>
      <c r="D29" s="6">
        <f>D27*D28</f>
        <v/>
      </c>
      <c r="E29" s="6">
        <f>E27*E28</f>
        <v/>
      </c>
      <c r="F29" s="6">
        <f>F27*F28</f>
        <v/>
      </c>
    </row>
    <row r="31">
      <c r="A31" s="3" t="inlineStr">
        <is>
          <t>Terminal Value &amp; Valuation</t>
        </is>
      </c>
      <c r="B31" s="12" t="n"/>
      <c r="C31" s="12" t="n"/>
      <c r="D31" s="12" t="n"/>
      <c r="E31" s="12" t="n"/>
      <c r="F31" s="12" t="n"/>
      <c r="G31" s="12" t="n"/>
    </row>
    <row r="32">
      <c r="A32" s="4" t="inlineStr">
        <is>
          <t>Terminal value (end of FY2030)</t>
        </is>
      </c>
      <c r="B32" s="6">
        <f>F27*(1+$B$6)/($B$5-$B$6)</f>
        <v/>
      </c>
    </row>
    <row r="33">
      <c r="A33" s="4" t="inlineStr">
        <is>
          <t>PV of terminal value</t>
        </is>
      </c>
      <c r="B33" s="6">
        <f>B32*F28</f>
        <v/>
      </c>
    </row>
    <row r="34">
      <c r="A34" s="4" t="inlineStr">
        <is>
          <t>Sum of PV of projected FCFs</t>
        </is>
      </c>
      <c r="B34" s="6">
        <f>SUM(B29:F29)</f>
        <v/>
      </c>
    </row>
    <row r="35">
      <c r="A35" s="4" t="inlineStr">
        <is>
          <t>Enterprise value</t>
        </is>
      </c>
      <c r="B35" s="16">
        <f>B33+B34</f>
        <v/>
      </c>
    </row>
    <row r="36">
      <c r="A36" s="4" t="inlineStr">
        <is>
          <t>Less: total debt</t>
        </is>
      </c>
      <c r="B36" s="6">
        <f>-B19</f>
        <v/>
      </c>
    </row>
    <row r="37">
      <c r="A37" s="4" t="inlineStr">
        <is>
          <t>Plus: cash &amp; equivalents</t>
        </is>
      </c>
      <c r="B37" s="6">
        <f>B18</f>
        <v/>
      </c>
    </row>
    <row r="38">
      <c r="A38" s="4" t="inlineStr">
        <is>
          <t>Equity value</t>
        </is>
      </c>
      <c r="B38" s="16">
        <f>B35+B36+B37</f>
        <v/>
      </c>
    </row>
    <row r="39">
      <c r="A39" s="4" t="inlineStr">
        <is>
          <t>Diluted shares outstanding (millions)</t>
        </is>
      </c>
      <c r="B39" s="6">
        <f>B20</f>
        <v/>
      </c>
    </row>
    <row r="40">
      <c r="A40" s="4" t="inlineStr">
        <is>
          <t>Implied value per share</t>
        </is>
      </c>
      <c r="B40" s="7">
        <f>B38/B39</f>
        <v/>
      </c>
    </row>
    <row r="42">
      <c r="A42" s="3" t="inlineStr">
        <is>
          <t>Sensitivity: Implied Value/Share (WACC x Terminal Growth)</t>
        </is>
      </c>
      <c r="B42" s="12" t="n"/>
      <c r="C42" s="12" t="n"/>
      <c r="D42" s="12" t="n"/>
      <c r="E42" s="12" t="n"/>
      <c r="F42" s="12" t="n"/>
      <c r="G42" s="12" t="n"/>
    </row>
    <row r="43">
      <c r="B43" s="17" t="inlineStr">
        <is>
          <t>WACC \ Term. g</t>
        </is>
      </c>
      <c r="C43" s="18" t="n">
        <v>0.02</v>
      </c>
      <c r="D43" s="18" t="n">
        <v>0.025</v>
      </c>
      <c r="E43" s="18" t="n">
        <v>0.03</v>
      </c>
      <c r="F43" s="18" t="n">
        <v>0.035</v>
      </c>
      <c r="G43" s="18" t="n">
        <v>0.04</v>
      </c>
    </row>
    <row r="44">
      <c r="B44" s="19" t="n">
        <v>0.08</v>
      </c>
      <c r="C44" s="20">
        <f>((((($F$12*(1+($B$7+(C$43-$B$7)*1/5)))*$B$8)/(1+$B$44)^1)+((($F$12*(1+($B$7+(C$43-$B$7)*1/5))*(1+($B$7+(C$43-$B$7)*2/5)))*$B$8)/(1+$B$44)^2)+((($F$12*(1+($B$7+(C$43-$B$7)*1/5))*(1+($B$7+(C$43-$B$7)*2/5))*(1+($B$7+(C$43-$B$7)*3/5)))*$B$8)/(1+$B$44)^3)+((($F$12*(1+($B$7+(C$43-$B$7)*1/5))*(1+($B$7+(C$43-$B$7)*2/5))*(1+($B$7+(C$43-$B$7)*3/5))*(1+($B$7+(C$43-$B$7)*4/5)))*$B$8)/(1+$B$44)^4)+((($F$12*(1+($B$7+(C$43-$B$7)*1/5))*(1+($B$7+(C$43-$B$7)*2/5))*(1+($B$7+(C$43-$B$7)*3/5))*(1+($B$7+(C$43-$B$7)*4/5))*(1+($B$7+(C$43-$B$7)*5/5)))*$B$8)/(1+$B$44)^5)+((((($F$12*(1+($B$7+(C$43-$B$7)*1/5))*(1+($B$7+(C$43-$B$7)*2/5))*(1+($B$7+(C$43-$B$7)*3/5))*(1+($B$7+(C$43-$B$7)*4/5))*(1+($B$7+(C$43-$B$7)*5/5)))*$B$8)*(1+C$43))/($B$44-C$43))/(1+$B$44)^5))-$B$19+$B$18)/$B$20</f>
        <v/>
      </c>
      <c r="D44" s="20">
        <f>((((($F$12*(1+($B$7+(D$43-$B$7)*1/5)))*$B$8)/(1+$B$44)^1)+((($F$12*(1+($B$7+(D$43-$B$7)*1/5))*(1+($B$7+(D$43-$B$7)*2/5)))*$B$8)/(1+$B$44)^2)+((($F$12*(1+($B$7+(D$43-$B$7)*1/5))*(1+($B$7+(D$43-$B$7)*2/5))*(1+($B$7+(D$43-$B$7)*3/5)))*$B$8)/(1+$B$44)^3)+((($F$12*(1+($B$7+(D$43-$B$7)*1/5))*(1+($B$7+(D$43-$B$7)*2/5))*(1+($B$7+(D$43-$B$7)*3/5))*(1+($B$7+(D$43-$B$7)*4/5)))*$B$8)/(1+$B$44)^4)+((($F$12*(1+($B$7+(D$43-$B$7)*1/5))*(1+($B$7+(D$43-$B$7)*2/5))*(1+($B$7+(D$43-$B$7)*3/5))*(1+($B$7+(D$43-$B$7)*4/5))*(1+($B$7+(D$43-$B$7)*5/5)))*$B$8)/(1+$B$44)^5)+((((($F$12*(1+($B$7+(D$43-$B$7)*1/5))*(1+($B$7+(D$43-$B$7)*2/5))*(1+($B$7+(D$43-$B$7)*3/5))*(1+($B$7+(D$43-$B$7)*4/5))*(1+($B$7+(D$43-$B$7)*5/5)))*$B$8)*(1+D$43))/($B$44-D$43))/(1+$B$44)^5))-$B$19+$B$18)/$B$20</f>
        <v/>
      </c>
      <c r="E44" s="20">
        <f>((((($F$12*(1+($B$7+(E$43-$B$7)*1/5)))*$B$8)/(1+$B$44)^1)+((($F$12*(1+($B$7+(E$43-$B$7)*1/5))*(1+($B$7+(E$43-$B$7)*2/5)))*$B$8)/(1+$B$44)^2)+((($F$12*(1+($B$7+(E$43-$B$7)*1/5))*(1+($B$7+(E$43-$B$7)*2/5))*(1+($B$7+(E$43-$B$7)*3/5)))*$B$8)/(1+$B$44)^3)+((($F$12*(1+($B$7+(E$43-$B$7)*1/5))*(1+($B$7+(E$43-$B$7)*2/5))*(1+($B$7+(E$43-$B$7)*3/5))*(1+($B$7+(E$43-$B$7)*4/5)))*$B$8)/(1+$B$44)^4)+((($F$12*(1+($B$7+(E$43-$B$7)*1/5))*(1+($B$7+(E$43-$B$7)*2/5))*(1+($B$7+(E$43-$B$7)*3/5))*(1+($B$7+(E$43-$B$7)*4/5))*(1+($B$7+(E$43-$B$7)*5/5)))*$B$8)/(1+$B$44)^5)+((((($F$12*(1+($B$7+(E$43-$B$7)*1/5))*(1+($B$7+(E$43-$B$7)*2/5))*(1+($B$7+(E$43-$B$7)*3/5))*(1+($B$7+(E$43-$B$7)*4/5))*(1+($B$7+(E$43-$B$7)*5/5)))*$B$8)*(1+E$43))/($B$44-E$43))/(1+$B$44)^5))-$B$19+$B$18)/$B$20</f>
        <v/>
      </c>
      <c r="F44" s="20">
        <f>((((($F$12*(1+($B$7+(F$43-$B$7)*1/5)))*$B$8)/(1+$B$44)^1)+((($F$12*(1+($B$7+(F$43-$B$7)*1/5))*(1+($B$7+(F$43-$B$7)*2/5)))*$B$8)/(1+$B$44)^2)+((($F$12*(1+($B$7+(F$43-$B$7)*1/5))*(1+($B$7+(F$43-$B$7)*2/5))*(1+($B$7+(F$43-$B$7)*3/5)))*$B$8)/(1+$B$44)^3)+((($F$12*(1+($B$7+(F$43-$B$7)*1/5))*(1+($B$7+(F$43-$B$7)*2/5))*(1+($B$7+(F$43-$B$7)*3/5))*(1+($B$7+(F$43-$B$7)*4/5)))*$B$8)/(1+$B$44)^4)+((($F$12*(1+($B$7+(F$43-$B$7)*1/5))*(1+($B$7+(F$43-$B$7)*2/5))*(1+($B$7+(F$43-$B$7)*3/5))*(1+($B$7+(F$43-$B$7)*4/5))*(1+($B$7+(F$43-$B$7)*5/5)))*$B$8)/(1+$B$44)^5)+((((($F$12*(1+($B$7+(F$43-$B$7)*1/5))*(1+($B$7+(F$43-$B$7)*2/5))*(1+($B$7+(F$43-$B$7)*3/5))*(1+($B$7+(F$43-$B$7)*4/5))*(1+($B$7+(F$43-$B$7)*5/5)))*$B$8)*(1+F$43))/($B$44-F$43))/(1+$B$44)^5))-$B$19+$B$18)/$B$20</f>
        <v/>
      </c>
      <c r="G44" s="20">
        <f>((((($F$12*(1+($B$7+(G$43-$B$7)*1/5)))*$B$8)/(1+$B$44)^1)+((($F$12*(1+($B$7+(G$43-$B$7)*1/5))*(1+($B$7+(G$43-$B$7)*2/5)))*$B$8)/(1+$B$44)^2)+((($F$12*(1+($B$7+(G$43-$B$7)*1/5))*(1+($B$7+(G$43-$B$7)*2/5))*(1+($B$7+(G$43-$B$7)*3/5)))*$B$8)/(1+$B$44)^3)+((($F$12*(1+($B$7+(G$43-$B$7)*1/5))*(1+($B$7+(G$43-$B$7)*2/5))*(1+($B$7+(G$43-$B$7)*3/5))*(1+($B$7+(G$43-$B$7)*4/5)))*$B$8)/(1+$B$44)^4)+((($F$12*(1+($B$7+(G$43-$B$7)*1/5))*(1+($B$7+(G$43-$B$7)*2/5))*(1+($B$7+(G$43-$B$7)*3/5))*(1+($B$7+(G$43-$B$7)*4/5))*(1+($B$7+(G$43-$B$7)*5/5)))*$B$8)/(1+$B$44)^5)+((((($F$12*(1+($B$7+(G$43-$B$7)*1/5))*(1+($B$7+(G$43-$B$7)*2/5))*(1+($B$7+(G$43-$B$7)*3/5))*(1+($B$7+(G$43-$B$7)*4/5))*(1+($B$7+(G$43-$B$7)*5/5)))*$B$8)*(1+G$43))/($B$44-G$43))/(1+$B$44)^5))-$B$19+$B$18)/$B$20</f>
        <v/>
      </c>
    </row>
    <row r="45">
      <c r="B45" s="19" t="n">
        <v>0.09</v>
      </c>
      <c r="C45" s="20">
        <f>((((($F$12*(1+($B$7+(C$43-$B$7)*1/5)))*$B$8)/(1+$B$45)^1)+((($F$12*(1+($B$7+(C$43-$B$7)*1/5))*(1+($B$7+(C$43-$B$7)*2/5)))*$B$8)/(1+$B$45)^2)+((($F$12*(1+($B$7+(C$43-$B$7)*1/5))*(1+($B$7+(C$43-$B$7)*2/5))*(1+($B$7+(C$43-$B$7)*3/5)))*$B$8)/(1+$B$45)^3)+((($F$12*(1+($B$7+(C$43-$B$7)*1/5))*(1+($B$7+(C$43-$B$7)*2/5))*(1+($B$7+(C$43-$B$7)*3/5))*(1+($B$7+(C$43-$B$7)*4/5)))*$B$8)/(1+$B$45)^4)+((($F$12*(1+($B$7+(C$43-$B$7)*1/5))*(1+($B$7+(C$43-$B$7)*2/5))*(1+($B$7+(C$43-$B$7)*3/5))*(1+($B$7+(C$43-$B$7)*4/5))*(1+($B$7+(C$43-$B$7)*5/5)))*$B$8)/(1+$B$45)^5)+((((($F$12*(1+($B$7+(C$43-$B$7)*1/5))*(1+($B$7+(C$43-$B$7)*2/5))*(1+($B$7+(C$43-$B$7)*3/5))*(1+($B$7+(C$43-$B$7)*4/5))*(1+($B$7+(C$43-$B$7)*5/5)))*$B$8)*(1+C$43))/($B$45-C$43))/(1+$B$45)^5))-$B$19+$B$18)/$B$20</f>
        <v/>
      </c>
      <c r="D45" s="20">
        <f>((((($F$12*(1+($B$7+(D$43-$B$7)*1/5)))*$B$8)/(1+$B$45)^1)+((($F$12*(1+($B$7+(D$43-$B$7)*1/5))*(1+($B$7+(D$43-$B$7)*2/5)))*$B$8)/(1+$B$45)^2)+((($F$12*(1+($B$7+(D$43-$B$7)*1/5))*(1+($B$7+(D$43-$B$7)*2/5))*(1+($B$7+(D$43-$B$7)*3/5)))*$B$8)/(1+$B$45)^3)+((($F$12*(1+($B$7+(D$43-$B$7)*1/5))*(1+($B$7+(D$43-$B$7)*2/5))*(1+($B$7+(D$43-$B$7)*3/5))*(1+($B$7+(D$43-$B$7)*4/5)))*$B$8)/(1+$B$45)^4)+((($F$12*(1+($B$7+(D$43-$B$7)*1/5))*(1+($B$7+(D$43-$B$7)*2/5))*(1+($B$7+(D$43-$B$7)*3/5))*(1+($B$7+(D$43-$B$7)*4/5))*(1+($B$7+(D$43-$B$7)*5/5)))*$B$8)/(1+$B$45)^5)+((((($F$12*(1+($B$7+(D$43-$B$7)*1/5))*(1+($B$7+(D$43-$B$7)*2/5))*(1+($B$7+(D$43-$B$7)*3/5))*(1+($B$7+(D$43-$B$7)*4/5))*(1+($B$7+(D$43-$B$7)*5/5)))*$B$8)*(1+D$43))/($B$45-D$43))/(1+$B$45)^5))-$B$19+$B$18)/$B$20</f>
        <v/>
      </c>
      <c r="E45" s="20">
        <f>((((($F$12*(1+($B$7+(E$43-$B$7)*1/5)))*$B$8)/(1+$B$45)^1)+((($F$12*(1+($B$7+(E$43-$B$7)*1/5))*(1+($B$7+(E$43-$B$7)*2/5)))*$B$8)/(1+$B$45)^2)+((($F$12*(1+($B$7+(E$43-$B$7)*1/5))*(1+($B$7+(E$43-$B$7)*2/5))*(1+($B$7+(E$43-$B$7)*3/5)))*$B$8)/(1+$B$45)^3)+((($F$12*(1+($B$7+(E$43-$B$7)*1/5))*(1+($B$7+(E$43-$B$7)*2/5))*(1+($B$7+(E$43-$B$7)*3/5))*(1+($B$7+(E$43-$B$7)*4/5)))*$B$8)/(1+$B$45)^4)+((($F$12*(1+($B$7+(E$43-$B$7)*1/5))*(1+($B$7+(E$43-$B$7)*2/5))*(1+($B$7+(E$43-$B$7)*3/5))*(1+($B$7+(E$43-$B$7)*4/5))*(1+($B$7+(E$43-$B$7)*5/5)))*$B$8)/(1+$B$45)^5)+((((($F$12*(1+($B$7+(E$43-$B$7)*1/5))*(1+($B$7+(E$43-$B$7)*2/5))*(1+($B$7+(E$43-$B$7)*3/5))*(1+($B$7+(E$43-$B$7)*4/5))*(1+($B$7+(E$43-$B$7)*5/5)))*$B$8)*(1+E$43))/($B$45-E$43))/(1+$B$45)^5))-$B$19+$B$18)/$B$20</f>
        <v/>
      </c>
      <c r="F45" s="20">
        <f>((((($F$12*(1+($B$7+(F$43-$B$7)*1/5)))*$B$8)/(1+$B$45)^1)+((($F$12*(1+($B$7+(F$43-$B$7)*1/5))*(1+($B$7+(F$43-$B$7)*2/5)))*$B$8)/(1+$B$45)^2)+((($F$12*(1+($B$7+(F$43-$B$7)*1/5))*(1+($B$7+(F$43-$B$7)*2/5))*(1+($B$7+(F$43-$B$7)*3/5)))*$B$8)/(1+$B$45)^3)+((($F$12*(1+($B$7+(F$43-$B$7)*1/5))*(1+($B$7+(F$43-$B$7)*2/5))*(1+($B$7+(F$43-$B$7)*3/5))*(1+($B$7+(F$43-$B$7)*4/5)))*$B$8)/(1+$B$45)^4)+((($F$12*(1+($B$7+(F$43-$B$7)*1/5))*(1+($B$7+(F$43-$B$7)*2/5))*(1+($B$7+(F$43-$B$7)*3/5))*(1+($B$7+(F$43-$B$7)*4/5))*(1+($B$7+(F$43-$B$7)*5/5)))*$B$8)/(1+$B$45)^5)+((((($F$12*(1+($B$7+(F$43-$B$7)*1/5))*(1+($B$7+(F$43-$B$7)*2/5))*(1+($B$7+(F$43-$B$7)*3/5))*(1+($B$7+(F$43-$B$7)*4/5))*(1+($B$7+(F$43-$B$7)*5/5)))*$B$8)*(1+F$43))/($B$45-F$43))/(1+$B$45)^5))-$B$19+$B$18)/$B$20</f>
        <v/>
      </c>
      <c r="G45" s="20">
        <f>((((($F$12*(1+($B$7+(G$43-$B$7)*1/5)))*$B$8)/(1+$B$45)^1)+((($F$12*(1+($B$7+(G$43-$B$7)*1/5))*(1+($B$7+(G$43-$B$7)*2/5)))*$B$8)/(1+$B$45)^2)+((($F$12*(1+($B$7+(G$43-$B$7)*1/5))*(1+($B$7+(G$43-$B$7)*2/5))*(1+($B$7+(G$43-$B$7)*3/5)))*$B$8)/(1+$B$45)^3)+((($F$12*(1+($B$7+(G$43-$B$7)*1/5))*(1+($B$7+(G$43-$B$7)*2/5))*(1+($B$7+(G$43-$B$7)*3/5))*(1+($B$7+(G$43-$B$7)*4/5)))*$B$8)/(1+$B$45)^4)+((($F$12*(1+($B$7+(G$43-$B$7)*1/5))*(1+($B$7+(G$43-$B$7)*2/5))*(1+($B$7+(G$43-$B$7)*3/5))*(1+($B$7+(G$43-$B$7)*4/5))*(1+($B$7+(G$43-$B$7)*5/5)))*$B$8)/(1+$B$45)^5)+((((($F$12*(1+($B$7+(G$43-$B$7)*1/5))*(1+($B$7+(G$43-$B$7)*2/5))*(1+($B$7+(G$43-$B$7)*3/5))*(1+($B$7+(G$43-$B$7)*4/5))*(1+($B$7+(G$43-$B$7)*5/5)))*$B$8)*(1+G$43))/($B$45-G$43))/(1+$B$45)^5))-$B$19+$B$18)/$B$20</f>
        <v/>
      </c>
    </row>
    <row r="46">
      <c r="B46" s="19" t="n">
        <v>0.1</v>
      </c>
      <c r="C46" s="20">
        <f>((((($F$12*(1+($B$7+(C$43-$B$7)*1/5)))*$B$8)/(1+$B$46)^1)+((($F$12*(1+($B$7+(C$43-$B$7)*1/5))*(1+($B$7+(C$43-$B$7)*2/5)))*$B$8)/(1+$B$46)^2)+((($F$12*(1+($B$7+(C$43-$B$7)*1/5))*(1+($B$7+(C$43-$B$7)*2/5))*(1+($B$7+(C$43-$B$7)*3/5)))*$B$8)/(1+$B$46)^3)+((($F$12*(1+($B$7+(C$43-$B$7)*1/5))*(1+($B$7+(C$43-$B$7)*2/5))*(1+($B$7+(C$43-$B$7)*3/5))*(1+($B$7+(C$43-$B$7)*4/5)))*$B$8)/(1+$B$46)^4)+((($F$12*(1+($B$7+(C$43-$B$7)*1/5))*(1+($B$7+(C$43-$B$7)*2/5))*(1+($B$7+(C$43-$B$7)*3/5))*(1+($B$7+(C$43-$B$7)*4/5))*(1+($B$7+(C$43-$B$7)*5/5)))*$B$8)/(1+$B$46)^5)+((((($F$12*(1+($B$7+(C$43-$B$7)*1/5))*(1+($B$7+(C$43-$B$7)*2/5))*(1+($B$7+(C$43-$B$7)*3/5))*(1+($B$7+(C$43-$B$7)*4/5))*(1+($B$7+(C$43-$B$7)*5/5)))*$B$8)*(1+C$43))/($B$46-C$43))/(1+$B$46)^5))-$B$19+$B$18)/$B$20</f>
        <v/>
      </c>
      <c r="D46" s="20">
        <f>((((($F$12*(1+($B$7+(D$43-$B$7)*1/5)))*$B$8)/(1+$B$46)^1)+((($F$12*(1+($B$7+(D$43-$B$7)*1/5))*(1+($B$7+(D$43-$B$7)*2/5)))*$B$8)/(1+$B$46)^2)+((($F$12*(1+($B$7+(D$43-$B$7)*1/5))*(1+($B$7+(D$43-$B$7)*2/5))*(1+($B$7+(D$43-$B$7)*3/5)))*$B$8)/(1+$B$46)^3)+((($F$12*(1+($B$7+(D$43-$B$7)*1/5))*(1+($B$7+(D$43-$B$7)*2/5))*(1+($B$7+(D$43-$B$7)*3/5))*(1+($B$7+(D$43-$B$7)*4/5)))*$B$8)/(1+$B$46)^4)+((($F$12*(1+($B$7+(D$43-$B$7)*1/5))*(1+($B$7+(D$43-$B$7)*2/5))*(1+($B$7+(D$43-$B$7)*3/5))*(1+($B$7+(D$43-$B$7)*4/5))*(1+($B$7+(D$43-$B$7)*5/5)))*$B$8)/(1+$B$46)^5)+((((($F$12*(1+($B$7+(D$43-$B$7)*1/5))*(1+($B$7+(D$43-$B$7)*2/5))*(1+($B$7+(D$43-$B$7)*3/5))*(1+($B$7+(D$43-$B$7)*4/5))*(1+($B$7+(D$43-$B$7)*5/5)))*$B$8)*(1+D$43))/($B$46-D$43))/(1+$B$46)^5))-$B$19+$B$18)/$B$20</f>
        <v/>
      </c>
      <c r="E46" s="20">
        <f>((((($F$12*(1+($B$7+(E$43-$B$7)*1/5)))*$B$8)/(1+$B$46)^1)+((($F$12*(1+($B$7+(E$43-$B$7)*1/5))*(1+($B$7+(E$43-$B$7)*2/5)))*$B$8)/(1+$B$46)^2)+((($F$12*(1+($B$7+(E$43-$B$7)*1/5))*(1+($B$7+(E$43-$B$7)*2/5))*(1+($B$7+(E$43-$B$7)*3/5)))*$B$8)/(1+$B$46)^3)+((($F$12*(1+($B$7+(E$43-$B$7)*1/5))*(1+($B$7+(E$43-$B$7)*2/5))*(1+($B$7+(E$43-$B$7)*3/5))*(1+($B$7+(E$43-$B$7)*4/5)))*$B$8)/(1+$B$46)^4)+((($F$12*(1+($B$7+(E$43-$B$7)*1/5))*(1+($B$7+(E$43-$B$7)*2/5))*(1+($B$7+(E$43-$B$7)*3/5))*(1+($B$7+(E$43-$B$7)*4/5))*(1+($B$7+(E$43-$B$7)*5/5)))*$B$8)/(1+$B$46)^5)+((((($F$12*(1+($B$7+(E$43-$B$7)*1/5))*(1+($B$7+(E$43-$B$7)*2/5))*(1+($B$7+(E$43-$B$7)*3/5))*(1+($B$7+(E$43-$B$7)*4/5))*(1+($B$7+(E$43-$B$7)*5/5)))*$B$8)*(1+E$43))/($B$46-E$43))/(1+$B$46)^5))-$B$19+$B$18)/$B$20</f>
        <v/>
      </c>
      <c r="F46" s="20">
        <f>((((($F$12*(1+($B$7+(F$43-$B$7)*1/5)))*$B$8)/(1+$B$46)^1)+((($F$12*(1+($B$7+(F$43-$B$7)*1/5))*(1+($B$7+(F$43-$B$7)*2/5)))*$B$8)/(1+$B$46)^2)+((($F$12*(1+($B$7+(F$43-$B$7)*1/5))*(1+($B$7+(F$43-$B$7)*2/5))*(1+($B$7+(F$43-$B$7)*3/5)))*$B$8)/(1+$B$46)^3)+((($F$12*(1+($B$7+(F$43-$B$7)*1/5))*(1+($B$7+(F$43-$B$7)*2/5))*(1+($B$7+(F$43-$B$7)*3/5))*(1+($B$7+(F$43-$B$7)*4/5)))*$B$8)/(1+$B$46)^4)+((($F$12*(1+($B$7+(F$43-$B$7)*1/5))*(1+($B$7+(F$43-$B$7)*2/5))*(1+($B$7+(F$43-$B$7)*3/5))*(1+($B$7+(F$43-$B$7)*4/5))*(1+($B$7+(F$43-$B$7)*5/5)))*$B$8)/(1+$B$46)^5)+((((($F$12*(1+($B$7+(F$43-$B$7)*1/5))*(1+($B$7+(F$43-$B$7)*2/5))*(1+($B$7+(F$43-$B$7)*3/5))*(1+($B$7+(F$43-$B$7)*4/5))*(1+($B$7+(F$43-$B$7)*5/5)))*$B$8)*(1+F$43))/($B$46-F$43))/(1+$B$46)^5))-$B$19+$B$18)/$B$20</f>
        <v/>
      </c>
      <c r="G46" s="20">
        <f>((((($F$12*(1+($B$7+(G$43-$B$7)*1/5)))*$B$8)/(1+$B$46)^1)+((($F$12*(1+($B$7+(G$43-$B$7)*1/5))*(1+($B$7+(G$43-$B$7)*2/5)))*$B$8)/(1+$B$46)^2)+((($F$12*(1+($B$7+(G$43-$B$7)*1/5))*(1+($B$7+(G$43-$B$7)*2/5))*(1+($B$7+(G$43-$B$7)*3/5)))*$B$8)/(1+$B$46)^3)+((($F$12*(1+($B$7+(G$43-$B$7)*1/5))*(1+($B$7+(G$43-$B$7)*2/5))*(1+($B$7+(G$43-$B$7)*3/5))*(1+($B$7+(G$43-$B$7)*4/5)))*$B$8)/(1+$B$46)^4)+((($F$12*(1+($B$7+(G$43-$B$7)*1/5))*(1+($B$7+(G$43-$B$7)*2/5))*(1+($B$7+(G$43-$B$7)*3/5))*(1+($B$7+(G$43-$B$7)*4/5))*(1+($B$7+(G$43-$B$7)*5/5)))*$B$8)/(1+$B$46)^5)+((((($F$12*(1+($B$7+(G$43-$B$7)*1/5))*(1+($B$7+(G$43-$B$7)*2/5))*(1+($B$7+(G$43-$B$7)*3/5))*(1+($B$7+(G$43-$B$7)*4/5))*(1+($B$7+(G$43-$B$7)*5/5)))*$B$8)*(1+G$43))/($B$46-G$43))/(1+$B$46)^5))-$B$19+$B$18)/$B$20</f>
        <v/>
      </c>
    </row>
    <row r="47">
      <c r="B47" s="19" t="n">
        <v>0.11</v>
      </c>
      <c r="C47" s="20">
        <f>((((($F$12*(1+($B$7+(C$43-$B$7)*1/5)))*$B$8)/(1+$B$47)^1)+((($F$12*(1+($B$7+(C$43-$B$7)*1/5))*(1+($B$7+(C$43-$B$7)*2/5)))*$B$8)/(1+$B$47)^2)+((($F$12*(1+($B$7+(C$43-$B$7)*1/5))*(1+($B$7+(C$43-$B$7)*2/5))*(1+($B$7+(C$43-$B$7)*3/5)))*$B$8)/(1+$B$47)^3)+((($F$12*(1+($B$7+(C$43-$B$7)*1/5))*(1+($B$7+(C$43-$B$7)*2/5))*(1+($B$7+(C$43-$B$7)*3/5))*(1+($B$7+(C$43-$B$7)*4/5)))*$B$8)/(1+$B$47)^4)+((($F$12*(1+($B$7+(C$43-$B$7)*1/5))*(1+($B$7+(C$43-$B$7)*2/5))*(1+($B$7+(C$43-$B$7)*3/5))*(1+($B$7+(C$43-$B$7)*4/5))*(1+($B$7+(C$43-$B$7)*5/5)))*$B$8)/(1+$B$47)^5)+((((($F$12*(1+($B$7+(C$43-$B$7)*1/5))*(1+($B$7+(C$43-$B$7)*2/5))*(1+($B$7+(C$43-$B$7)*3/5))*(1+($B$7+(C$43-$B$7)*4/5))*(1+($B$7+(C$43-$B$7)*5/5)))*$B$8)*(1+C$43))/($B$47-C$43))/(1+$B$47)^5))-$B$19+$B$18)/$B$20</f>
        <v/>
      </c>
      <c r="D47" s="20">
        <f>((((($F$12*(1+($B$7+(D$43-$B$7)*1/5)))*$B$8)/(1+$B$47)^1)+((($F$12*(1+($B$7+(D$43-$B$7)*1/5))*(1+($B$7+(D$43-$B$7)*2/5)))*$B$8)/(1+$B$47)^2)+((($F$12*(1+($B$7+(D$43-$B$7)*1/5))*(1+($B$7+(D$43-$B$7)*2/5))*(1+($B$7+(D$43-$B$7)*3/5)))*$B$8)/(1+$B$47)^3)+((($F$12*(1+($B$7+(D$43-$B$7)*1/5))*(1+($B$7+(D$43-$B$7)*2/5))*(1+($B$7+(D$43-$B$7)*3/5))*(1+($B$7+(D$43-$B$7)*4/5)))*$B$8)/(1+$B$47)^4)+((($F$12*(1+($B$7+(D$43-$B$7)*1/5))*(1+($B$7+(D$43-$B$7)*2/5))*(1+($B$7+(D$43-$B$7)*3/5))*(1+($B$7+(D$43-$B$7)*4/5))*(1+($B$7+(D$43-$B$7)*5/5)))*$B$8)/(1+$B$47)^5)+((((($F$12*(1+($B$7+(D$43-$B$7)*1/5))*(1+($B$7+(D$43-$B$7)*2/5))*(1+($B$7+(D$43-$B$7)*3/5))*(1+($B$7+(D$43-$B$7)*4/5))*(1+($B$7+(D$43-$B$7)*5/5)))*$B$8)*(1+D$43))/($B$47-D$43))/(1+$B$47)^5))-$B$19+$B$18)/$B$20</f>
        <v/>
      </c>
      <c r="E47" s="20">
        <f>((((($F$12*(1+($B$7+(E$43-$B$7)*1/5)))*$B$8)/(1+$B$47)^1)+((($F$12*(1+($B$7+(E$43-$B$7)*1/5))*(1+($B$7+(E$43-$B$7)*2/5)))*$B$8)/(1+$B$47)^2)+((($F$12*(1+($B$7+(E$43-$B$7)*1/5))*(1+($B$7+(E$43-$B$7)*2/5))*(1+($B$7+(E$43-$B$7)*3/5)))*$B$8)/(1+$B$47)^3)+((($F$12*(1+($B$7+(E$43-$B$7)*1/5))*(1+($B$7+(E$43-$B$7)*2/5))*(1+($B$7+(E$43-$B$7)*3/5))*(1+($B$7+(E$43-$B$7)*4/5)))*$B$8)/(1+$B$47)^4)+((($F$12*(1+($B$7+(E$43-$B$7)*1/5))*(1+($B$7+(E$43-$B$7)*2/5))*(1+($B$7+(E$43-$B$7)*3/5))*(1+($B$7+(E$43-$B$7)*4/5))*(1+($B$7+(E$43-$B$7)*5/5)))*$B$8)/(1+$B$47)^5)+((((($F$12*(1+($B$7+(E$43-$B$7)*1/5))*(1+($B$7+(E$43-$B$7)*2/5))*(1+($B$7+(E$43-$B$7)*3/5))*(1+($B$7+(E$43-$B$7)*4/5))*(1+($B$7+(E$43-$B$7)*5/5)))*$B$8)*(1+E$43))/($B$47-E$43))/(1+$B$47)^5))-$B$19+$B$18)/$B$20</f>
        <v/>
      </c>
      <c r="F47" s="20">
        <f>((((($F$12*(1+($B$7+(F$43-$B$7)*1/5)))*$B$8)/(1+$B$47)^1)+((($F$12*(1+($B$7+(F$43-$B$7)*1/5))*(1+($B$7+(F$43-$B$7)*2/5)))*$B$8)/(1+$B$47)^2)+((($F$12*(1+($B$7+(F$43-$B$7)*1/5))*(1+($B$7+(F$43-$B$7)*2/5))*(1+($B$7+(F$43-$B$7)*3/5)))*$B$8)/(1+$B$47)^3)+((($F$12*(1+($B$7+(F$43-$B$7)*1/5))*(1+($B$7+(F$43-$B$7)*2/5))*(1+($B$7+(F$43-$B$7)*3/5))*(1+($B$7+(F$43-$B$7)*4/5)))*$B$8)/(1+$B$47)^4)+((($F$12*(1+($B$7+(F$43-$B$7)*1/5))*(1+($B$7+(F$43-$B$7)*2/5))*(1+($B$7+(F$43-$B$7)*3/5))*(1+($B$7+(F$43-$B$7)*4/5))*(1+($B$7+(F$43-$B$7)*5/5)))*$B$8)/(1+$B$47)^5)+((((($F$12*(1+($B$7+(F$43-$B$7)*1/5))*(1+($B$7+(F$43-$B$7)*2/5))*(1+($B$7+(F$43-$B$7)*3/5))*(1+($B$7+(F$43-$B$7)*4/5))*(1+($B$7+(F$43-$B$7)*5/5)))*$B$8)*(1+F$43))/($B$47-F$43))/(1+$B$47)^5))-$B$19+$B$18)/$B$20</f>
        <v/>
      </c>
      <c r="G47" s="20">
        <f>((((($F$12*(1+($B$7+(G$43-$B$7)*1/5)))*$B$8)/(1+$B$47)^1)+((($F$12*(1+($B$7+(G$43-$B$7)*1/5))*(1+($B$7+(G$43-$B$7)*2/5)))*$B$8)/(1+$B$47)^2)+((($F$12*(1+($B$7+(G$43-$B$7)*1/5))*(1+($B$7+(G$43-$B$7)*2/5))*(1+($B$7+(G$43-$B$7)*3/5)))*$B$8)/(1+$B$47)^3)+((($F$12*(1+($B$7+(G$43-$B$7)*1/5))*(1+($B$7+(G$43-$B$7)*2/5))*(1+($B$7+(G$43-$B$7)*3/5))*(1+($B$7+(G$43-$B$7)*4/5)))*$B$8)/(1+$B$47)^4)+((($F$12*(1+($B$7+(G$43-$B$7)*1/5))*(1+($B$7+(G$43-$B$7)*2/5))*(1+($B$7+(G$43-$B$7)*3/5))*(1+($B$7+(G$43-$B$7)*4/5))*(1+($B$7+(G$43-$B$7)*5/5)))*$B$8)/(1+$B$47)^5)+((((($F$12*(1+($B$7+(G$43-$B$7)*1/5))*(1+($B$7+(G$43-$B$7)*2/5))*(1+($B$7+(G$43-$B$7)*3/5))*(1+($B$7+(G$43-$B$7)*4/5))*(1+($B$7+(G$43-$B$7)*5/5)))*$B$8)*(1+G$43))/($B$47-G$43))/(1+$B$47)^5))-$B$19+$B$18)/$B$20</f>
        <v/>
      </c>
    </row>
    <row r="48">
      <c r="B48" s="19" t="n">
        <v>0.12</v>
      </c>
      <c r="C48" s="20">
        <f>((((($F$12*(1+($B$7+(C$43-$B$7)*1/5)))*$B$8)/(1+$B$48)^1)+((($F$12*(1+($B$7+(C$43-$B$7)*1/5))*(1+($B$7+(C$43-$B$7)*2/5)))*$B$8)/(1+$B$48)^2)+((($F$12*(1+($B$7+(C$43-$B$7)*1/5))*(1+($B$7+(C$43-$B$7)*2/5))*(1+($B$7+(C$43-$B$7)*3/5)))*$B$8)/(1+$B$48)^3)+((($F$12*(1+($B$7+(C$43-$B$7)*1/5))*(1+($B$7+(C$43-$B$7)*2/5))*(1+($B$7+(C$43-$B$7)*3/5))*(1+($B$7+(C$43-$B$7)*4/5)))*$B$8)/(1+$B$48)^4)+((($F$12*(1+($B$7+(C$43-$B$7)*1/5))*(1+($B$7+(C$43-$B$7)*2/5))*(1+($B$7+(C$43-$B$7)*3/5))*(1+($B$7+(C$43-$B$7)*4/5))*(1+($B$7+(C$43-$B$7)*5/5)))*$B$8)/(1+$B$48)^5)+((((($F$12*(1+($B$7+(C$43-$B$7)*1/5))*(1+($B$7+(C$43-$B$7)*2/5))*(1+($B$7+(C$43-$B$7)*3/5))*(1+($B$7+(C$43-$B$7)*4/5))*(1+($B$7+(C$43-$B$7)*5/5)))*$B$8)*(1+C$43))/($B$48-C$43))/(1+$B$48)^5))-$B$19+$B$18)/$B$20</f>
        <v/>
      </c>
      <c r="D48" s="20">
        <f>((((($F$12*(1+($B$7+(D$43-$B$7)*1/5)))*$B$8)/(1+$B$48)^1)+((($F$12*(1+($B$7+(D$43-$B$7)*1/5))*(1+($B$7+(D$43-$B$7)*2/5)))*$B$8)/(1+$B$48)^2)+((($F$12*(1+($B$7+(D$43-$B$7)*1/5))*(1+($B$7+(D$43-$B$7)*2/5))*(1+($B$7+(D$43-$B$7)*3/5)))*$B$8)/(1+$B$48)^3)+((($F$12*(1+($B$7+(D$43-$B$7)*1/5))*(1+($B$7+(D$43-$B$7)*2/5))*(1+($B$7+(D$43-$B$7)*3/5))*(1+($B$7+(D$43-$B$7)*4/5)))*$B$8)/(1+$B$48)^4)+((($F$12*(1+($B$7+(D$43-$B$7)*1/5))*(1+($B$7+(D$43-$B$7)*2/5))*(1+($B$7+(D$43-$B$7)*3/5))*(1+($B$7+(D$43-$B$7)*4/5))*(1+($B$7+(D$43-$B$7)*5/5)))*$B$8)/(1+$B$48)^5)+((((($F$12*(1+($B$7+(D$43-$B$7)*1/5))*(1+($B$7+(D$43-$B$7)*2/5))*(1+($B$7+(D$43-$B$7)*3/5))*(1+($B$7+(D$43-$B$7)*4/5))*(1+($B$7+(D$43-$B$7)*5/5)))*$B$8)*(1+D$43))/($B$48-D$43))/(1+$B$48)^5))-$B$19+$B$18)/$B$20</f>
        <v/>
      </c>
      <c r="E48" s="20">
        <f>((((($F$12*(1+($B$7+(E$43-$B$7)*1/5)))*$B$8)/(1+$B$48)^1)+((($F$12*(1+($B$7+(E$43-$B$7)*1/5))*(1+($B$7+(E$43-$B$7)*2/5)))*$B$8)/(1+$B$48)^2)+((($F$12*(1+($B$7+(E$43-$B$7)*1/5))*(1+($B$7+(E$43-$B$7)*2/5))*(1+($B$7+(E$43-$B$7)*3/5)))*$B$8)/(1+$B$48)^3)+((($F$12*(1+($B$7+(E$43-$B$7)*1/5))*(1+($B$7+(E$43-$B$7)*2/5))*(1+($B$7+(E$43-$B$7)*3/5))*(1+($B$7+(E$43-$B$7)*4/5)))*$B$8)/(1+$B$48)^4)+((($F$12*(1+($B$7+(E$43-$B$7)*1/5))*(1+($B$7+(E$43-$B$7)*2/5))*(1+($B$7+(E$43-$B$7)*3/5))*(1+($B$7+(E$43-$B$7)*4/5))*(1+($B$7+(E$43-$B$7)*5/5)))*$B$8)/(1+$B$48)^5)+((((($F$12*(1+($B$7+(E$43-$B$7)*1/5))*(1+($B$7+(E$43-$B$7)*2/5))*(1+($B$7+(E$43-$B$7)*3/5))*(1+($B$7+(E$43-$B$7)*4/5))*(1+($B$7+(E$43-$B$7)*5/5)))*$B$8)*(1+E$43))/($B$48-E$43))/(1+$B$48)^5))-$B$19+$B$18)/$B$20</f>
        <v/>
      </c>
      <c r="F48" s="20">
        <f>((((($F$12*(1+($B$7+(F$43-$B$7)*1/5)))*$B$8)/(1+$B$48)^1)+((($F$12*(1+($B$7+(F$43-$B$7)*1/5))*(1+($B$7+(F$43-$B$7)*2/5)))*$B$8)/(1+$B$48)^2)+((($F$12*(1+($B$7+(F$43-$B$7)*1/5))*(1+($B$7+(F$43-$B$7)*2/5))*(1+($B$7+(F$43-$B$7)*3/5)))*$B$8)/(1+$B$48)^3)+((($F$12*(1+($B$7+(F$43-$B$7)*1/5))*(1+($B$7+(F$43-$B$7)*2/5))*(1+($B$7+(F$43-$B$7)*3/5))*(1+($B$7+(F$43-$B$7)*4/5)))*$B$8)/(1+$B$48)^4)+((($F$12*(1+($B$7+(F$43-$B$7)*1/5))*(1+($B$7+(F$43-$B$7)*2/5))*(1+($B$7+(F$43-$B$7)*3/5))*(1+($B$7+(F$43-$B$7)*4/5))*(1+($B$7+(F$43-$B$7)*5/5)))*$B$8)/(1+$B$48)^5)+((((($F$12*(1+($B$7+(F$43-$B$7)*1/5))*(1+($B$7+(F$43-$B$7)*2/5))*(1+($B$7+(F$43-$B$7)*3/5))*(1+($B$7+(F$43-$B$7)*4/5))*(1+($B$7+(F$43-$B$7)*5/5)))*$B$8)*(1+F$43))/($B$48-F$43))/(1+$B$48)^5))-$B$19+$B$18)/$B$20</f>
        <v/>
      </c>
      <c r="G48" s="20">
        <f>((((($F$12*(1+($B$7+(G$43-$B$7)*1/5)))*$B$8)/(1+$B$48)^1)+((($F$12*(1+($B$7+(G$43-$B$7)*1/5))*(1+($B$7+(G$43-$B$7)*2/5)))*$B$8)/(1+$B$48)^2)+((($F$12*(1+($B$7+(G$43-$B$7)*1/5))*(1+($B$7+(G$43-$B$7)*2/5))*(1+($B$7+(G$43-$B$7)*3/5)))*$B$8)/(1+$B$48)^3)+((($F$12*(1+($B$7+(G$43-$B$7)*1/5))*(1+($B$7+(G$43-$B$7)*2/5))*(1+($B$7+(G$43-$B$7)*3/5))*(1+($B$7+(G$43-$B$7)*4/5)))*$B$8)/(1+$B$48)^4)+((($F$12*(1+($B$7+(G$43-$B$7)*1/5))*(1+($B$7+(G$43-$B$7)*2/5))*(1+($B$7+(G$43-$B$7)*3/5))*(1+($B$7+(G$43-$B$7)*4/5))*(1+($B$7+(G$43-$B$7)*5/5)))*$B$8)/(1+$B$48)^5)+((((($F$12*(1+($B$7+(G$43-$B$7)*1/5))*(1+($B$7+(G$43-$B$7)*2/5))*(1+($B$7+(G$43-$B$7)*3/5))*(1+($B$7+(G$43-$B$7)*4/5))*(1+($B$7+(G$43-$B$7)*5/5)))*$B$8)*(1+G$43))/($B$48-G$43))/(1+$B$48)^5))-$B$19+$B$18)/$B$20</f>
        <v/>
      </c>
    </row>
    <row r="50">
      <c r="A50" s="3" t="inlineStr">
        <is>
          <t>Tornado Inputs (other variable held at its base case)</t>
        </is>
      </c>
      <c r="B50" s="12" t="n"/>
      <c r="C50" s="12" t="n"/>
      <c r="D50" s="12" t="n"/>
      <c r="E50" s="12" t="n"/>
      <c r="F50" s="12" t="n"/>
      <c r="G50" s="12" t="n"/>
    </row>
    <row r="51">
      <c r="A51" s="17" t="inlineStr">
        <is>
          <t>Factor</t>
        </is>
      </c>
      <c r="B51" s="17" t="inlineStr">
        <is>
          <t>Low</t>
        </is>
      </c>
      <c r="C51" s="17" t="inlineStr">
        <is>
          <t>High</t>
        </is>
      </c>
      <c r="D51" s="17" t="inlineStr">
        <is>
          <t>Base (chart helper)</t>
        </is>
      </c>
      <c r="E51" s="17" t="inlineStr">
        <is>
          <t>Span (chart helper)</t>
        </is>
      </c>
    </row>
    <row r="52">
      <c r="A52" s="4" t="inlineStr">
        <is>
          <t>WACC (8% → 12%)</t>
        </is>
      </c>
      <c r="B52" s="8">
        <f>E44</f>
        <v/>
      </c>
      <c r="C52" s="8">
        <f>E48</f>
        <v/>
      </c>
      <c r="D52" s="8">
        <f>MIN(B52,C52)</f>
        <v/>
      </c>
      <c r="E52" s="8">
        <f>ABS(C52-B52)</f>
        <v/>
      </c>
    </row>
    <row r="53">
      <c r="A53" s="4" t="inlineStr">
        <is>
          <t>Terminal growth (2% → 4%)</t>
        </is>
      </c>
      <c r="B53" s="8">
        <f>C46</f>
        <v/>
      </c>
      <c r="C53" s="8">
        <f>G46</f>
        <v/>
      </c>
      <c r="D53" s="8">
        <f>MIN(B53,C53)</f>
        <v/>
      </c>
      <c r="E53" s="8">
        <f>ABS(C53-B53)</f>
        <v/>
      </c>
    </row>
  </sheetData>
  <conditionalFormatting sqref="C44:G4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CRWD — CrowdStrike Holdings, Inc.</t>
        </is>
      </c>
    </row>
    <row r="2">
      <c r="A2" s="4" t="inlineStr">
        <is>
          <t>Unlevered DCF | $ in millions except per-share and share count</t>
        </is>
      </c>
    </row>
    <row r="4">
      <c r="A4" s="3" t="inlineStr">
        <is>
          <t>Assumptions (edit the highlighted cells)</t>
        </is>
      </c>
      <c r="B4" s="12" t="n"/>
      <c r="C4" s="12" t="n"/>
      <c r="D4" s="12" t="n"/>
      <c r="E4" s="12" t="n"/>
      <c r="F4" s="12" t="n"/>
      <c r="G4" s="12" t="n"/>
    </row>
    <row r="5">
      <c r="A5" s="4" t="inlineStr">
        <is>
          <t>WACC (discount rate)</t>
        </is>
      </c>
      <c r="B5" s="13" t="n">
        <v>0.1</v>
      </c>
    </row>
    <row r="6">
      <c r="A6" s="4" t="inlineStr">
        <is>
          <t>Terminal growth rate</t>
        </is>
      </c>
      <c r="B6" s="13" t="n">
        <v>0.03</v>
      </c>
    </row>
    <row r="7">
      <c r="A7" s="4" t="inlineStr">
        <is>
          <t>Starting revenue growth rate</t>
        </is>
      </c>
      <c r="B7" s="13" t="n">
        <v>0.2171124517657723</v>
      </c>
      <c r="C7" s="2" t="inlineStr">
        <is>
          <t>default: most recent YoY revenue growth</t>
        </is>
      </c>
    </row>
    <row r="8">
      <c r="A8" s="4" t="inlineStr">
        <is>
          <t>Unlevered FCF margin (% of revenue)</t>
        </is>
      </c>
      <c r="B8" s="13" t="n">
        <v>0.278654593468165</v>
      </c>
      <c r="C8" s="2" t="inlineStr">
        <is>
          <t>default: avg of last 2 fiscal years' FCF / revenue</t>
        </is>
      </c>
    </row>
    <row r="10">
      <c r="A10" s="3" t="inlineStr">
        <is>
          <t>Historical Trend ($ in millions)</t>
        </is>
      </c>
      <c r="B10" s="12" t="n"/>
      <c r="C10" s="12" t="n"/>
      <c r="D10" s="12" t="n"/>
      <c r="E10" s="12" t="n"/>
      <c r="F10" s="12" t="n"/>
      <c r="G10" s="12" t="n"/>
    </row>
    <row r="11">
      <c r="A11" s="4" t="inlineStr">
        <is>
          <t>Fiscal year</t>
        </is>
      </c>
      <c r="B11" s="14" t="n">
        <v>2022</v>
      </c>
      <c r="C11" s="14" t="n">
        <v>2023</v>
      </c>
      <c r="D11" s="14" t="n">
        <v>2024</v>
      </c>
      <c r="E11" s="14" t="n">
        <v>2025</v>
      </c>
      <c r="F11" s="14" t="n">
        <v>2026</v>
      </c>
    </row>
    <row r="12">
      <c r="A12" s="4" t="inlineStr">
        <is>
          <t>Revenue</t>
        </is>
      </c>
      <c r="B12" s="6" t="n">
        <v>1451.594</v>
      </c>
      <c r="C12" s="6" t="n">
        <v>2241.236</v>
      </c>
      <c r="D12" s="6" t="n">
        <v>3055.555</v>
      </c>
      <c r="E12" s="6" t="n">
        <v>3953.624</v>
      </c>
      <c r="F12" s="6" t="n">
        <v>4812.005</v>
      </c>
    </row>
    <row r="13">
      <c r="A13" s="4" t="inlineStr">
        <is>
          <t>Revenue growth %</t>
        </is>
      </c>
      <c r="C13" s="5">
        <f>C12/B12-1</f>
        <v/>
      </c>
      <c r="D13" s="5">
        <f>D12/C12-1</f>
        <v/>
      </c>
      <c r="E13" s="5">
        <f>E12/D12-1</f>
        <v/>
      </c>
      <c r="F13" s="5">
        <f>F12/E12-1</f>
        <v/>
      </c>
    </row>
    <row r="14">
      <c r="A14" s="4" t="inlineStr">
        <is>
          <t>Free cash flow</t>
        </is>
      </c>
      <c r="B14" s="6" t="n">
        <v>462.641</v>
      </c>
      <c r="C14" s="6" t="n">
        <v>705.9880000000001</v>
      </c>
      <c r="D14" s="6" t="n">
        <v>989.678</v>
      </c>
      <c r="E14" s="6" t="n">
        <v>1126.875</v>
      </c>
      <c r="F14" s="6" t="n">
        <v>1310.241</v>
      </c>
    </row>
    <row r="15">
      <c r="A15" s="4" t="inlineStr">
        <is>
          <t>FCF margin %</t>
        </is>
      </c>
      <c r="B15" s="5">
        <f>B14/B12</f>
        <v/>
      </c>
      <c r="C15" s="5">
        <f>C14/C12</f>
        <v/>
      </c>
      <c r="D15" s="5">
        <f>D14/D12</f>
        <v/>
      </c>
      <c r="E15" s="5">
        <f>E14/E12</f>
        <v/>
      </c>
      <c r="F15" s="5">
        <f>F14/F12</f>
        <v/>
      </c>
    </row>
    <row r="17">
      <c r="A17" s="3" t="inlineStr">
        <is>
          <t>Balance Sheet Actuals — FY2026 ($ in millions)</t>
        </is>
      </c>
      <c r="B17" s="12" t="n"/>
      <c r="C17" s="12" t="n"/>
      <c r="D17" s="12" t="n"/>
      <c r="E17" s="12" t="n"/>
      <c r="F17" s="12" t="n"/>
      <c r="G17" s="12" t="n"/>
    </row>
    <row r="18">
      <c r="A18" s="4" t="inlineStr">
        <is>
          <t>Cash &amp; equivalents</t>
        </is>
      </c>
      <c r="B18" s="6" t="n">
        <v>5230.125</v>
      </c>
    </row>
    <row r="19">
      <c r="A19" s="4" t="inlineStr">
        <is>
          <t>Total debt</t>
        </is>
      </c>
      <c r="B19" s="6" t="n">
        <v>745.471</v>
      </c>
    </row>
    <row r="20">
      <c r="A20" s="4" t="inlineStr">
        <is>
          <t>Diluted shares outstanding (millions)</t>
        </is>
      </c>
      <c r="B20" s="6" t="n">
        <v>250.576</v>
      </c>
    </row>
    <row r="22">
      <c r="A22" s="3" t="inlineStr">
        <is>
          <t>5-Year Projection ($ in millions)</t>
        </is>
      </c>
      <c r="B22" s="12" t="n"/>
      <c r="C22" s="12" t="n"/>
      <c r="D22" s="12" t="n"/>
      <c r="E22" s="12" t="n"/>
      <c r="F22" s="12" t="n"/>
      <c r="G22" s="12" t="n"/>
    </row>
    <row r="23">
      <c r="A23" s="4" t="inlineStr">
        <is>
          <t>Fiscal year</t>
        </is>
      </c>
      <c r="B23" s="14" t="inlineStr">
        <is>
          <t>FY2027E</t>
        </is>
      </c>
      <c r="C23" s="14" t="inlineStr">
        <is>
          <t>FY2028E</t>
        </is>
      </c>
      <c r="D23" s="14" t="inlineStr">
        <is>
          <t>FY2029E</t>
        </is>
      </c>
      <c r="E23" s="14" t="inlineStr">
        <is>
          <t>FY2030E</t>
        </is>
      </c>
      <c r="F23" s="14" t="inlineStr">
        <is>
          <t>FY2031E</t>
        </is>
      </c>
    </row>
    <row r="24">
      <c r="A24" s="4" t="inlineStr">
        <is>
          <t>Revenue growth rate</t>
        </is>
      </c>
      <c r="B24" s="5">
        <f>$B$7+($B$6-$B$7)*1/5</f>
        <v/>
      </c>
      <c r="C24" s="5">
        <f>$B$7+($B$6-$B$7)*2/5</f>
        <v/>
      </c>
      <c r="D24" s="5">
        <f>$B$7+($B$6-$B$7)*3/5</f>
        <v/>
      </c>
      <c r="E24" s="5">
        <f>$B$7+($B$6-$B$7)*4/5</f>
        <v/>
      </c>
      <c r="F24" s="5">
        <f>$B$7+($B$6-$B$7)*5/5</f>
        <v/>
      </c>
    </row>
    <row r="25">
      <c r="A25" s="4" t="inlineStr">
        <is>
          <t>Projected revenue</t>
        </is>
      </c>
      <c r="B25" s="6">
        <f>F12*(1+B24)</f>
        <v/>
      </c>
      <c r="C25" s="6">
        <f>B25*(1+C24)</f>
        <v/>
      </c>
      <c r="D25" s="6">
        <f>C25*(1+D24)</f>
        <v/>
      </c>
      <c r="E25" s="6">
        <f>D25*(1+E24)</f>
        <v/>
      </c>
      <c r="F25" s="6">
        <f>E25*(1+F24)</f>
        <v/>
      </c>
    </row>
    <row r="26">
      <c r="A26" s="4" t="inlineStr">
        <is>
          <t>FCF margin (assumption, held flat)</t>
        </is>
      </c>
      <c r="B26" s="5">
        <f>$B$8</f>
        <v/>
      </c>
      <c r="C26" s="5">
        <f>$B$8</f>
        <v/>
      </c>
      <c r="D26" s="5">
        <f>$B$8</f>
        <v/>
      </c>
      <c r="E26" s="5">
        <f>$B$8</f>
        <v/>
      </c>
      <c r="F26" s="5">
        <f>$B$8</f>
        <v/>
      </c>
    </row>
    <row r="27">
      <c r="A27" s="4" t="inlineStr">
        <is>
          <t>Projected unlevered FCF</t>
        </is>
      </c>
      <c r="B27" s="6">
        <f>B25*B26</f>
        <v/>
      </c>
      <c r="C27" s="6">
        <f>C25*C26</f>
        <v/>
      </c>
      <c r="D27" s="6">
        <f>D25*D26</f>
        <v/>
      </c>
      <c r="E27" s="6">
        <f>E25*E26</f>
        <v/>
      </c>
      <c r="F27" s="6">
        <f>F25*F26</f>
        <v/>
      </c>
    </row>
    <row r="28">
      <c r="A28" s="4" t="inlineStr">
        <is>
          <t>Discount factor</t>
        </is>
      </c>
      <c r="B28" s="15">
        <f>1/(1+$B$5)^1</f>
        <v/>
      </c>
      <c r="C28" s="15">
        <f>1/(1+$B$5)^2</f>
        <v/>
      </c>
      <c r="D28" s="15">
        <f>1/(1+$B$5)^3</f>
        <v/>
      </c>
      <c r="E28" s="15">
        <f>1/(1+$B$5)^4</f>
        <v/>
      </c>
      <c r="F28" s="15">
        <f>1/(1+$B$5)^5</f>
        <v/>
      </c>
    </row>
    <row r="29">
      <c r="A29" s="4" t="inlineStr">
        <is>
          <t>PV of FCF</t>
        </is>
      </c>
      <c r="B29" s="6">
        <f>B27*B28</f>
        <v/>
      </c>
      <c r="C29" s="6">
        <f>C27*C28</f>
        <v/>
      </c>
      <c r="D29" s="6">
        <f>D27*D28</f>
        <v/>
      </c>
      <c r="E29" s="6">
        <f>E27*E28</f>
        <v/>
      </c>
      <c r="F29" s="6">
        <f>F27*F28</f>
        <v/>
      </c>
    </row>
    <row r="31">
      <c r="A31" s="3" t="inlineStr">
        <is>
          <t>Terminal Value &amp; Valuation</t>
        </is>
      </c>
      <c r="B31" s="12" t="n"/>
      <c r="C31" s="12" t="n"/>
      <c r="D31" s="12" t="n"/>
      <c r="E31" s="12" t="n"/>
      <c r="F31" s="12" t="n"/>
      <c r="G31" s="12" t="n"/>
    </row>
    <row r="32">
      <c r="A32" s="4" t="inlineStr">
        <is>
          <t>Terminal value (end of FY2031)</t>
        </is>
      </c>
      <c r="B32" s="6">
        <f>F27*(1+$B$6)/($B$5-$B$6)</f>
        <v/>
      </c>
    </row>
    <row r="33">
      <c r="A33" s="4" t="inlineStr">
        <is>
          <t>PV of terminal value</t>
        </is>
      </c>
      <c r="B33" s="6">
        <f>B32*F28</f>
        <v/>
      </c>
    </row>
    <row r="34">
      <c r="A34" s="4" t="inlineStr">
        <is>
          <t>Sum of PV of projected FCFs</t>
        </is>
      </c>
      <c r="B34" s="6">
        <f>SUM(B29:F29)</f>
        <v/>
      </c>
    </row>
    <row r="35">
      <c r="A35" s="4" t="inlineStr">
        <is>
          <t>Enterprise value</t>
        </is>
      </c>
      <c r="B35" s="16">
        <f>B33+B34</f>
        <v/>
      </c>
    </row>
    <row r="36">
      <c r="A36" s="4" t="inlineStr">
        <is>
          <t>Less: total debt</t>
        </is>
      </c>
      <c r="B36" s="6">
        <f>-B19</f>
        <v/>
      </c>
    </row>
    <row r="37">
      <c r="A37" s="4" t="inlineStr">
        <is>
          <t>Plus: cash &amp; equivalents</t>
        </is>
      </c>
      <c r="B37" s="6">
        <f>B18</f>
        <v/>
      </c>
    </row>
    <row r="38">
      <c r="A38" s="4" t="inlineStr">
        <is>
          <t>Equity value</t>
        </is>
      </c>
      <c r="B38" s="16">
        <f>B35+B36+B37</f>
        <v/>
      </c>
    </row>
    <row r="39">
      <c r="A39" s="4" t="inlineStr">
        <is>
          <t>Diluted shares outstanding (millions)</t>
        </is>
      </c>
      <c r="B39" s="6">
        <f>B20</f>
        <v/>
      </c>
    </row>
    <row r="40">
      <c r="A40" s="4" t="inlineStr">
        <is>
          <t>Implied value per share</t>
        </is>
      </c>
      <c r="B40" s="7">
        <f>B38/B39</f>
        <v/>
      </c>
    </row>
    <row r="42">
      <c r="A42" s="3" t="inlineStr">
        <is>
          <t>Sensitivity: Implied Value/Share (WACC x Terminal Growth)</t>
        </is>
      </c>
      <c r="B42" s="12" t="n"/>
      <c r="C42" s="12" t="n"/>
      <c r="D42" s="12" t="n"/>
      <c r="E42" s="12" t="n"/>
      <c r="F42" s="12" t="n"/>
      <c r="G42" s="12" t="n"/>
    </row>
    <row r="43">
      <c r="B43" s="17" t="inlineStr">
        <is>
          <t>WACC \ Term. g</t>
        </is>
      </c>
      <c r="C43" s="18" t="n">
        <v>0.02</v>
      </c>
      <c r="D43" s="18" t="n">
        <v>0.025</v>
      </c>
      <c r="E43" s="18" t="n">
        <v>0.03</v>
      </c>
      <c r="F43" s="18" t="n">
        <v>0.035</v>
      </c>
      <c r="G43" s="18" t="n">
        <v>0.04</v>
      </c>
    </row>
    <row r="44">
      <c r="B44" s="19" t="n">
        <v>0.08</v>
      </c>
      <c r="C44" s="20">
        <f>((((($F$12*(1+($B$7+(C$43-$B$7)*1/5)))*$B$8)/(1+$B$44)^1)+((($F$12*(1+($B$7+(C$43-$B$7)*1/5))*(1+($B$7+(C$43-$B$7)*2/5)))*$B$8)/(1+$B$44)^2)+((($F$12*(1+($B$7+(C$43-$B$7)*1/5))*(1+($B$7+(C$43-$B$7)*2/5))*(1+($B$7+(C$43-$B$7)*3/5)))*$B$8)/(1+$B$44)^3)+((($F$12*(1+($B$7+(C$43-$B$7)*1/5))*(1+($B$7+(C$43-$B$7)*2/5))*(1+($B$7+(C$43-$B$7)*3/5))*(1+($B$7+(C$43-$B$7)*4/5)))*$B$8)/(1+$B$44)^4)+((($F$12*(1+($B$7+(C$43-$B$7)*1/5))*(1+($B$7+(C$43-$B$7)*2/5))*(1+($B$7+(C$43-$B$7)*3/5))*(1+($B$7+(C$43-$B$7)*4/5))*(1+($B$7+(C$43-$B$7)*5/5)))*$B$8)/(1+$B$44)^5)+((((($F$12*(1+($B$7+(C$43-$B$7)*1/5))*(1+($B$7+(C$43-$B$7)*2/5))*(1+($B$7+(C$43-$B$7)*3/5))*(1+($B$7+(C$43-$B$7)*4/5))*(1+($B$7+(C$43-$B$7)*5/5)))*$B$8)*(1+C$43))/($B$44-C$43))/(1+$B$44)^5))-$B$19+$B$18)/$B$20</f>
        <v/>
      </c>
      <c r="D44" s="20">
        <f>((((($F$12*(1+($B$7+(D$43-$B$7)*1/5)))*$B$8)/(1+$B$44)^1)+((($F$12*(1+($B$7+(D$43-$B$7)*1/5))*(1+($B$7+(D$43-$B$7)*2/5)))*$B$8)/(1+$B$44)^2)+((($F$12*(1+($B$7+(D$43-$B$7)*1/5))*(1+($B$7+(D$43-$B$7)*2/5))*(1+($B$7+(D$43-$B$7)*3/5)))*$B$8)/(1+$B$44)^3)+((($F$12*(1+($B$7+(D$43-$B$7)*1/5))*(1+($B$7+(D$43-$B$7)*2/5))*(1+($B$7+(D$43-$B$7)*3/5))*(1+($B$7+(D$43-$B$7)*4/5)))*$B$8)/(1+$B$44)^4)+((($F$12*(1+($B$7+(D$43-$B$7)*1/5))*(1+($B$7+(D$43-$B$7)*2/5))*(1+($B$7+(D$43-$B$7)*3/5))*(1+($B$7+(D$43-$B$7)*4/5))*(1+($B$7+(D$43-$B$7)*5/5)))*$B$8)/(1+$B$44)^5)+((((($F$12*(1+($B$7+(D$43-$B$7)*1/5))*(1+($B$7+(D$43-$B$7)*2/5))*(1+($B$7+(D$43-$B$7)*3/5))*(1+($B$7+(D$43-$B$7)*4/5))*(1+($B$7+(D$43-$B$7)*5/5)))*$B$8)*(1+D$43))/($B$44-D$43))/(1+$B$44)^5))-$B$19+$B$18)/$B$20</f>
        <v/>
      </c>
      <c r="E44" s="20">
        <f>((((($F$12*(1+($B$7+(E$43-$B$7)*1/5)))*$B$8)/(1+$B$44)^1)+((($F$12*(1+($B$7+(E$43-$B$7)*1/5))*(1+($B$7+(E$43-$B$7)*2/5)))*$B$8)/(1+$B$44)^2)+((($F$12*(1+($B$7+(E$43-$B$7)*1/5))*(1+($B$7+(E$43-$B$7)*2/5))*(1+($B$7+(E$43-$B$7)*3/5)))*$B$8)/(1+$B$44)^3)+((($F$12*(1+($B$7+(E$43-$B$7)*1/5))*(1+($B$7+(E$43-$B$7)*2/5))*(1+($B$7+(E$43-$B$7)*3/5))*(1+($B$7+(E$43-$B$7)*4/5)))*$B$8)/(1+$B$44)^4)+((($F$12*(1+($B$7+(E$43-$B$7)*1/5))*(1+($B$7+(E$43-$B$7)*2/5))*(1+($B$7+(E$43-$B$7)*3/5))*(1+($B$7+(E$43-$B$7)*4/5))*(1+($B$7+(E$43-$B$7)*5/5)))*$B$8)/(1+$B$44)^5)+((((($F$12*(1+($B$7+(E$43-$B$7)*1/5))*(1+($B$7+(E$43-$B$7)*2/5))*(1+($B$7+(E$43-$B$7)*3/5))*(1+($B$7+(E$43-$B$7)*4/5))*(1+($B$7+(E$43-$B$7)*5/5)))*$B$8)*(1+E$43))/($B$44-E$43))/(1+$B$44)^5))-$B$19+$B$18)/$B$20</f>
        <v/>
      </c>
      <c r="F44" s="20">
        <f>((((($F$12*(1+($B$7+(F$43-$B$7)*1/5)))*$B$8)/(1+$B$44)^1)+((($F$12*(1+($B$7+(F$43-$B$7)*1/5))*(1+($B$7+(F$43-$B$7)*2/5)))*$B$8)/(1+$B$44)^2)+((($F$12*(1+($B$7+(F$43-$B$7)*1/5))*(1+($B$7+(F$43-$B$7)*2/5))*(1+($B$7+(F$43-$B$7)*3/5)))*$B$8)/(1+$B$44)^3)+((($F$12*(1+($B$7+(F$43-$B$7)*1/5))*(1+($B$7+(F$43-$B$7)*2/5))*(1+($B$7+(F$43-$B$7)*3/5))*(1+($B$7+(F$43-$B$7)*4/5)))*$B$8)/(1+$B$44)^4)+((($F$12*(1+($B$7+(F$43-$B$7)*1/5))*(1+($B$7+(F$43-$B$7)*2/5))*(1+($B$7+(F$43-$B$7)*3/5))*(1+($B$7+(F$43-$B$7)*4/5))*(1+($B$7+(F$43-$B$7)*5/5)))*$B$8)/(1+$B$44)^5)+((((($F$12*(1+($B$7+(F$43-$B$7)*1/5))*(1+($B$7+(F$43-$B$7)*2/5))*(1+($B$7+(F$43-$B$7)*3/5))*(1+($B$7+(F$43-$B$7)*4/5))*(1+($B$7+(F$43-$B$7)*5/5)))*$B$8)*(1+F$43))/($B$44-F$43))/(1+$B$44)^5))-$B$19+$B$18)/$B$20</f>
        <v/>
      </c>
      <c r="G44" s="20">
        <f>((((($F$12*(1+($B$7+(G$43-$B$7)*1/5)))*$B$8)/(1+$B$44)^1)+((($F$12*(1+($B$7+(G$43-$B$7)*1/5))*(1+($B$7+(G$43-$B$7)*2/5)))*$B$8)/(1+$B$44)^2)+((($F$12*(1+($B$7+(G$43-$B$7)*1/5))*(1+($B$7+(G$43-$B$7)*2/5))*(1+($B$7+(G$43-$B$7)*3/5)))*$B$8)/(1+$B$44)^3)+((($F$12*(1+($B$7+(G$43-$B$7)*1/5))*(1+($B$7+(G$43-$B$7)*2/5))*(1+($B$7+(G$43-$B$7)*3/5))*(1+($B$7+(G$43-$B$7)*4/5)))*$B$8)/(1+$B$44)^4)+((($F$12*(1+($B$7+(G$43-$B$7)*1/5))*(1+($B$7+(G$43-$B$7)*2/5))*(1+($B$7+(G$43-$B$7)*3/5))*(1+($B$7+(G$43-$B$7)*4/5))*(1+($B$7+(G$43-$B$7)*5/5)))*$B$8)/(1+$B$44)^5)+((((($F$12*(1+($B$7+(G$43-$B$7)*1/5))*(1+($B$7+(G$43-$B$7)*2/5))*(1+($B$7+(G$43-$B$7)*3/5))*(1+($B$7+(G$43-$B$7)*4/5))*(1+($B$7+(G$43-$B$7)*5/5)))*$B$8)*(1+G$43))/($B$44-G$43))/(1+$B$44)^5))-$B$19+$B$18)/$B$20</f>
        <v/>
      </c>
    </row>
    <row r="45">
      <c r="B45" s="19" t="n">
        <v>0.09</v>
      </c>
      <c r="C45" s="20">
        <f>((((($F$12*(1+($B$7+(C$43-$B$7)*1/5)))*$B$8)/(1+$B$45)^1)+((($F$12*(1+($B$7+(C$43-$B$7)*1/5))*(1+($B$7+(C$43-$B$7)*2/5)))*$B$8)/(1+$B$45)^2)+((($F$12*(1+($B$7+(C$43-$B$7)*1/5))*(1+($B$7+(C$43-$B$7)*2/5))*(1+($B$7+(C$43-$B$7)*3/5)))*$B$8)/(1+$B$45)^3)+((($F$12*(1+($B$7+(C$43-$B$7)*1/5))*(1+($B$7+(C$43-$B$7)*2/5))*(1+($B$7+(C$43-$B$7)*3/5))*(1+($B$7+(C$43-$B$7)*4/5)))*$B$8)/(1+$B$45)^4)+((($F$12*(1+($B$7+(C$43-$B$7)*1/5))*(1+($B$7+(C$43-$B$7)*2/5))*(1+($B$7+(C$43-$B$7)*3/5))*(1+($B$7+(C$43-$B$7)*4/5))*(1+($B$7+(C$43-$B$7)*5/5)))*$B$8)/(1+$B$45)^5)+((((($F$12*(1+($B$7+(C$43-$B$7)*1/5))*(1+($B$7+(C$43-$B$7)*2/5))*(1+($B$7+(C$43-$B$7)*3/5))*(1+($B$7+(C$43-$B$7)*4/5))*(1+($B$7+(C$43-$B$7)*5/5)))*$B$8)*(1+C$43))/($B$45-C$43))/(1+$B$45)^5))-$B$19+$B$18)/$B$20</f>
        <v/>
      </c>
      <c r="D45" s="20">
        <f>((((($F$12*(1+($B$7+(D$43-$B$7)*1/5)))*$B$8)/(1+$B$45)^1)+((($F$12*(1+($B$7+(D$43-$B$7)*1/5))*(1+($B$7+(D$43-$B$7)*2/5)))*$B$8)/(1+$B$45)^2)+((($F$12*(1+($B$7+(D$43-$B$7)*1/5))*(1+($B$7+(D$43-$B$7)*2/5))*(1+($B$7+(D$43-$B$7)*3/5)))*$B$8)/(1+$B$45)^3)+((($F$12*(1+($B$7+(D$43-$B$7)*1/5))*(1+($B$7+(D$43-$B$7)*2/5))*(1+($B$7+(D$43-$B$7)*3/5))*(1+($B$7+(D$43-$B$7)*4/5)))*$B$8)/(1+$B$45)^4)+((($F$12*(1+($B$7+(D$43-$B$7)*1/5))*(1+($B$7+(D$43-$B$7)*2/5))*(1+($B$7+(D$43-$B$7)*3/5))*(1+($B$7+(D$43-$B$7)*4/5))*(1+($B$7+(D$43-$B$7)*5/5)))*$B$8)/(1+$B$45)^5)+((((($F$12*(1+($B$7+(D$43-$B$7)*1/5))*(1+($B$7+(D$43-$B$7)*2/5))*(1+($B$7+(D$43-$B$7)*3/5))*(1+($B$7+(D$43-$B$7)*4/5))*(1+($B$7+(D$43-$B$7)*5/5)))*$B$8)*(1+D$43))/($B$45-D$43))/(1+$B$45)^5))-$B$19+$B$18)/$B$20</f>
        <v/>
      </c>
      <c r="E45" s="20">
        <f>((((($F$12*(1+($B$7+(E$43-$B$7)*1/5)))*$B$8)/(1+$B$45)^1)+((($F$12*(1+($B$7+(E$43-$B$7)*1/5))*(1+($B$7+(E$43-$B$7)*2/5)))*$B$8)/(1+$B$45)^2)+((($F$12*(1+($B$7+(E$43-$B$7)*1/5))*(1+($B$7+(E$43-$B$7)*2/5))*(1+($B$7+(E$43-$B$7)*3/5)))*$B$8)/(1+$B$45)^3)+((($F$12*(1+($B$7+(E$43-$B$7)*1/5))*(1+($B$7+(E$43-$B$7)*2/5))*(1+($B$7+(E$43-$B$7)*3/5))*(1+($B$7+(E$43-$B$7)*4/5)))*$B$8)/(1+$B$45)^4)+((($F$12*(1+($B$7+(E$43-$B$7)*1/5))*(1+($B$7+(E$43-$B$7)*2/5))*(1+($B$7+(E$43-$B$7)*3/5))*(1+($B$7+(E$43-$B$7)*4/5))*(1+($B$7+(E$43-$B$7)*5/5)))*$B$8)/(1+$B$45)^5)+((((($F$12*(1+($B$7+(E$43-$B$7)*1/5))*(1+($B$7+(E$43-$B$7)*2/5))*(1+($B$7+(E$43-$B$7)*3/5))*(1+($B$7+(E$43-$B$7)*4/5))*(1+($B$7+(E$43-$B$7)*5/5)))*$B$8)*(1+E$43))/($B$45-E$43))/(1+$B$45)^5))-$B$19+$B$18)/$B$20</f>
        <v/>
      </c>
      <c r="F45" s="20">
        <f>((((($F$12*(1+($B$7+(F$43-$B$7)*1/5)))*$B$8)/(1+$B$45)^1)+((($F$12*(1+($B$7+(F$43-$B$7)*1/5))*(1+($B$7+(F$43-$B$7)*2/5)))*$B$8)/(1+$B$45)^2)+((($F$12*(1+($B$7+(F$43-$B$7)*1/5))*(1+($B$7+(F$43-$B$7)*2/5))*(1+($B$7+(F$43-$B$7)*3/5)))*$B$8)/(1+$B$45)^3)+((($F$12*(1+($B$7+(F$43-$B$7)*1/5))*(1+($B$7+(F$43-$B$7)*2/5))*(1+($B$7+(F$43-$B$7)*3/5))*(1+($B$7+(F$43-$B$7)*4/5)))*$B$8)/(1+$B$45)^4)+((($F$12*(1+($B$7+(F$43-$B$7)*1/5))*(1+($B$7+(F$43-$B$7)*2/5))*(1+($B$7+(F$43-$B$7)*3/5))*(1+($B$7+(F$43-$B$7)*4/5))*(1+($B$7+(F$43-$B$7)*5/5)))*$B$8)/(1+$B$45)^5)+((((($F$12*(1+($B$7+(F$43-$B$7)*1/5))*(1+($B$7+(F$43-$B$7)*2/5))*(1+($B$7+(F$43-$B$7)*3/5))*(1+($B$7+(F$43-$B$7)*4/5))*(1+($B$7+(F$43-$B$7)*5/5)))*$B$8)*(1+F$43))/($B$45-F$43))/(1+$B$45)^5))-$B$19+$B$18)/$B$20</f>
        <v/>
      </c>
      <c r="G45" s="20">
        <f>((((($F$12*(1+($B$7+(G$43-$B$7)*1/5)))*$B$8)/(1+$B$45)^1)+((($F$12*(1+($B$7+(G$43-$B$7)*1/5))*(1+($B$7+(G$43-$B$7)*2/5)))*$B$8)/(1+$B$45)^2)+((($F$12*(1+($B$7+(G$43-$B$7)*1/5))*(1+($B$7+(G$43-$B$7)*2/5))*(1+($B$7+(G$43-$B$7)*3/5)))*$B$8)/(1+$B$45)^3)+((($F$12*(1+($B$7+(G$43-$B$7)*1/5))*(1+($B$7+(G$43-$B$7)*2/5))*(1+($B$7+(G$43-$B$7)*3/5))*(1+($B$7+(G$43-$B$7)*4/5)))*$B$8)/(1+$B$45)^4)+((($F$12*(1+($B$7+(G$43-$B$7)*1/5))*(1+($B$7+(G$43-$B$7)*2/5))*(1+($B$7+(G$43-$B$7)*3/5))*(1+($B$7+(G$43-$B$7)*4/5))*(1+($B$7+(G$43-$B$7)*5/5)))*$B$8)/(1+$B$45)^5)+((((($F$12*(1+($B$7+(G$43-$B$7)*1/5))*(1+($B$7+(G$43-$B$7)*2/5))*(1+($B$7+(G$43-$B$7)*3/5))*(1+($B$7+(G$43-$B$7)*4/5))*(1+($B$7+(G$43-$B$7)*5/5)))*$B$8)*(1+G$43))/($B$45-G$43))/(1+$B$45)^5))-$B$19+$B$18)/$B$20</f>
        <v/>
      </c>
    </row>
    <row r="46">
      <c r="B46" s="19" t="n">
        <v>0.1</v>
      </c>
      <c r="C46" s="20">
        <f>((((($F$12*(1+($B$7+(C$43-$B$7)*1/5)))*$B$8)/(1+$B$46)^1)+((($F$12*(1+($B$7+(C$43-$B$7)*1/5))*(1+($B$7+(C$43-$B$7)*2/5)))*$B$8)/(1+$B$46)^2)+((($F$12*(1+($B$7+(C$43-$B$7)*1/5))*(1+($B$7+(C$43-$B$7)*2/5))*(1+($B$7+(C$43-$B$7)*3/5)))*$B$8)/(1+$B$46)^3)+((($F$12*(1+($B$7+(C$43-$B$7)*1/5))*(1+($B$7+(C$43-$B$7)*2/5))*(1+($B$7+(C$43-$B$7)*3/5))*(1+($B$7+(C$43-$B$7)*4/5)))*$B$8)/(1+$B$46)^4)+((($F$12*(1+($B$7+(C$43-$B$7)*1/5))*(1+($B$7+(C$43-$B$7)*2/5))*(1+($B$7+(C$43-$B$7)*3/5))*(1+($B$7+(C$43-$B$7)*4/5))*(1+($B$7+(C$43-$B$7)*5/5)))*$B$8)/(1+$B$46)^5)+((((($F$12*(1+($B$7+(C$43-$B$7)*1/5))*(1+($B$7+(C$43-$B$7)*2/5))*(1+($B$7+(C$43-$B$7)*3/5))*(1+($B$7+(C$43-$B$7)*4/5))*(1+($B$7+(C$43-$B$7)*5/5)))*$B$8)*(1+C$43))/($B$46-C$43))/(1+$B$46)^5))-$B$19+$B$18)/$B$20</f>
        <v/>
      </c>
      <c r="D46" s="20">
        <f>((((($F$12*(1+($B$7+(D$43-$B$7)*1/5)))*$B$8)/(1+$B$46)^1)+((($F$12*(1+($B$7+(D$43-$B$7)*1/5))*(1+($B$7+(D$43-$B$7)*2/5)))*$B$8)/(1+$B$46)^2)+((($F$12*(1+($B$7+(D$43-$B$7)*1/5))*(1+($B$7+(D$43-$B$7)*2/5))*(1+($B$7+(D$43-$B$7)*3/5)))*$B$8)/(1+$B$46)^3)+((($F$12*(1+($B$7+(D$43-$B$7)*1/5))*(1+($B$7+(D$43-$B$7)*2/5))*(1+($B$7+(D$43-$B$7)*3/5))*(1+($B$7+(D$43-$B$7)*4/5)))*$B$8)/(1+$B$46)^4)+((($F$12*(1+($B$7+(D$43-$B$7)*1/5))*(1+($B$7+(D$43-$B$7)*2/5))*(1+($B$7+(D$43-$B$7)*3/5))*(1+($B$7+(D$43-$B$7)*4/5))*(1+($B$7+(D$43-$B$7)*5/5)))*$B$8)/(1+$B$46)^5)+((((($F$12*(1+($B$7+(D$43-$B$7)*1/5))*(1+($B$7+(D$43-$B$7)*2/5))*(1+($B$7+(D$43-$B$7)*3/5))*(1+($B$7+(D$43-$B$7)*4/5))*(1+($B$7+(D$43-$B$7)*5/5)))*$B$8)*(1+D$43))/($B$46-D$43))/(1+$B$46)^5))-$B$19+$B$18)/$B$20</f>
        <v/>
      </c>
      <c r="E46" s="20">
        <f>((((($F$12*(1+($B$7+(E$43-$B$7)*1/5)))*$B$8)/(1+$B$46)^1)+((($F$12*(1+($B$7+(E$43-$B$7)*1/5))*(1+($B$7+(E$43-$B$7)*2/5)))*$B$8)/(1+$B$46)^2)+((($F$12*(1+($B$7+(E$43-$B$7)*1/5))*(1+($B$7+(E$43-$B$7)*2/5))*(1+($B$7+(E$43-$B$7)*3/5)))*$B$8)/(1+$B$46)^3)+((($F$12*(1+($B$7+(E$43-$B$7)*1/5))*(1+($B$7+(E$43-$B$7)*2/5))*(1+($B$7+(E$43-$B$7)*3/5))*(1+($B$7+(E$43-$B$7)*4/5)))*$B$8)/(1+$B$46)^4)+((($F$12*(1+($B$7+(E$43-$B$7)*1/5))*(1+($B$7+(E$43-$B$7)*2/5))*(1+($B$7+(E$43-$B$7)*3/5))*(1+($B$7+(E$43-$B$7)*4/5))*(1+($B$7+(E$43-$B$7)*5/5)))*$B$8)/(1+$B$46)^5)+((((($F$12*(1+($B$7+(E$43-$B$7)*1/5))*(1+($B$7+(E$43-$B$7)*2/5))*(1+($B$7+(E$43-$B$7)*3/5))*(1+($B$7+(E$43-$B$7)*4/5))*(1+($B$7+(E$43-$B$7)*5/5)))*$B$8)*(1+E$43))/($B$46-E$43))/(1+$B$46)^5))-$B$19+$B$18)/$B$20</f>
        <v/>
      </c>
      <c r="F46" s="20">
        <f>((((($F$12*(1+($B$7+(F$43-$B$7)*1/5)))*$B$8)/(1+$B$46)^1)+((($F$12*(1+($B$7+(F$43-$B$7)*1/5))*(1+($B$7+(F$43-$B$7)*2/5)))*$B$8)/(1+$B$46)^2)+((($F$12*(1+($B$7+(F$43-$B$7)*1/5))*(1+($B$7+(F$43-$B$7)*2/5))*(1+($B$7+(F$43-$B$7)*3/5)))*$B$8)/(1+$B$46)^3)+((($F$12*(1+($B$7+(F$43-$B$7)*1/5))*(1+($B$7+(F$43-$B$7)*2/5))*(1+($B$7+(F$43-$B$7)*3/5))*(1+($B$7+(F$43-$B$7)*4/5)))*$B$8)/(1+$B$46)^4)+((($F$12*(1+($B$7+(F$43-$B$7)*1/5))*(1+($B$7+(F$43-$B$7)*2/5))*(1+($B$7+(F$43-$B$7)*3/5))*(1+($B$7+(F$43-$B$7)*4/5))*(1+($B$7+(F$43-$B$7)*5/5)))*$B$8)/(1+$B$46)^5)+((((($F$12*(1+($B$7+(F$43-$B$7)*1/5))*(1+($B$7+(F$43-$B$7)*2/5))*(1+($B$7+(F$43-$B$7)*3/5))*(1+($B$7+(F$43-$B$7)*4/5))*(1+($B$7+(F$43-$B$7)*5/5)))*$B$8)*(1+F$43))/($B$46-F$43))/(1+$B$46)^5))-$B$19+$B$18)/$B$20</f>
        <v/>
      </c>
      <c r="G46" s="20">
        <f>((((($F$12*(1+($B$7+(G$43-$B$7)*1/5)))*$B$8)/(1+$B$46)^1)+((($F$12*(1+($B$7+(G$43-$B$7)*1/5))*(1+($B$7+(G$43-$B$7)*2/5)))*$B$8)/(1+$B$46)^2)+((($F$12*(1+($B$7+(G$43-$B$7)*1/5))*(1+($B$7+(G$43-$B$7)*2/5))*(1+($B$7+(G$43-$B$7)*3/5)))*$B$8)/(1+$B$46)^3)+((($F$12*(1+($B$7+(G$43-$B$7)*1/5))*(1+($B$7+(G$43-$B$7)*2/5))*(1+($B$7+(G$43-$B$7)*3/5))*(1+($B$7+(G$43-$B$7)*4/5)))*$B$8)/(1+$B$46)^4)+((($F$12*(1+($B$7+(G$43-$B$7)*1/5))*(1+($B$7+(G$43-$B$7)*2/5))*(1+($B$7+(G$43-$B$7)*3/5))*(1+($B$7+(G$43-$B$7)*4/5))*(1+($B$7+(G$43-$B$7)*5/5)))*$B$8)/(1+$B$46)^5)+((((($F$12*(1+($B$7+(G$43-$B$7)*1/5))*(1+($B$7+(G$43-$B$7)*2/5))*(1+($B$7+(G$43-$B$7)*3/5))*(1+($B$7+(G$43-$B$7)*4/5))*(1+($B$7+(G$43-$B$7)*5/5)))*$B$8)*(1+G$43))/($B$46-G$43))/(1+$B$46)^5))-$B$19+$B$18)/$B$20</f>
        <v/>
      </c>
    </row>
    <row r="47">
      <c r="B47" s="19" t="n">
        <v>0.11</v>
      </c>
      <c r="C47" s="20">
        <f>((((($F$12*(1+($B$7+(C$43-$B$7)*1/5)))*$B$8)/(1+$B$47)^1)+((($F$12*(1+($B$7+(C$43-$B$7)*1/5))*(1+($B$7+(C$43-$B$7)*2/5)))*$B$8)/(1+$B$47)^2)+((($F$12*(1+($B$7+(C$43-$B$7)*1/5))*(1+($B$7+(C$43-$B$7)*2/5))*(1+($B$7+(C$43-$B$7)*3/5)))*$B$8)/(1+$B$47)^3)+((($F$12*(1+($B$7+(C$43-$B$7)*1/5))*(1+($B$7+(C$43-$B$7)*2/5))*(1+($B$7+(C$43-$B$7)*3/5))*(1+($B$7+(C$43-$B$7)*4/5)))*$B$8)/(1+$B$47)^4)+((($F$12*(1+($B$7+(C$43-$B$7)*1/5))*(1+($B$7+(C$43-$B$7)*2/5))*(1+($B$7+(C$43-$B$7)*3/5))*(1+($B$7+(C$43-$B$7)*4/5))*(1+($B$7+(C$43-$B$7)*5/5)))*$B$8)/(1+$B$47)^5)+((((($F$12*(1+($B$7+(C$43-$B$7)*1/5))*(1+($B$7+(C$43-$B$7)*2/5))*(1+($B$7+(C$43-$B$7)*3/5))*(1+($B$7+(C$43-$B$7)*4/5))*(1+($B$7+(C$43-$B$7)*5/5)))*$B$8)*(1+C$43))/($B$47-C$43))/(1+$B$47)^5))-$B$19+$B$18)/$B$20</f>
        <v/>
      </c>
      <c r="D47" s="20">
        <f>((((($F$12*(1+($B$7+(D$43-$B$7)*1/5)))*$B$8)/(1+$B$47)^1)+((($F$12*(1+($B$7+(D$43-$B$7)*1/5))*(1+($B$7+(D$43-$B$7)*2/5)))*$B$8)/(1+$B$47)^2)+((($F$12*(1+($B$7+(D$43-$B$7)*1/5))*(1+($B$7+(D$43-$B$7)*2/5))*(1+($B$7+(D$43-$B$7)*3/5)))*$B$8)/(1+$B$47)^3)+((($F$12*(1+($B$7+(D$43-$B$7)*1/5))*(1+($B$7+(D$43-$B$7)*2/5))*(1+($B$7+(D$43-$B$7)*3/5))*(1+($B$7+(D$43-$B$7)*4/5)))*$B$8)/(1+$B$47)^4)+((($F$12*(1+($B$7+(D$43-$B$7)*1/5))*(1+($B$7+(D$43-$B$7)*2/5))*(1+($B$7+(D$43-$B$7)*3/5))*(1+($B$7+(D$43-$B$7)*4/5))*(1+($B$7+(D$43-$B$7)*5/5)))*$B$8)/(1+$B$47)^5)+((((($F$12*(1+($B$7+(D$43-$B$7)*1/5))*(1+($B$7+(D$43-$B$7)*2/5))*(1+($B$7+(D$43-$B$7)*3/5))*(1+($B$7+(D$43-$B$7)*4/5))*(1+($B$7+(D$43-$B$7)*5/5)))*$B$8)*(1+D$43))/($B$47-D$43))/(1+$B$47)^5))-$B$19+$B$18)/$B$20</f>
        <v/>
      </c>
      <c r="E47" s="20">
        <f>((((($F$12*(1+($B$7+(E$43-$B$7)*1/5)))*$B$8)/(1+$B$47)^1)+((($F$12*(1+($B$7+(E$43-$B$7)*1/5))*(1+($B$7+(E$43-$B$7)*2/5)))*$B$8)/(1+$B$47)^2)+((($F$12*(1+($B$7+(E$43-$B$7)*1/5))*(1+($B$7+(E$43-$B$7)*2/5))*(1+($B$7+(E$43-$B$7)*3/5)))*$B$8)/(1+$B$47)^3)+((($F$12*(1+($B$7+(E$43-$B$7)*1/5))*(1+($B$7+(E$43-$B$7)*2/5))*(1+($B$7+(E$43-$B$7)*3/5))*(1+($B$7+(E$43-$B$7)*4/5)))*$B$8)/(1+$B$47)^4)+((($F$12*(1+($B$7+(E$43-$B$7)*1/5))*(1+($B$7+(E$43-$B$7)*2/5))*(1+($B$7+(E$43-$B$7)*3/5))*(1+($B$7+(E$43-$B$7)*4/5))*(1+($B$7+(E$43-$B$7)*5/5)))*$B$8)/(1+$B$47)^5)+((((($F$12*(1+($B$7+(E$43-$B$7)*1/5))*(1+($B$7+(E$43-$B$7)*2/5))*(1+($B$7+(E$43-$B$7)*3/5))*(1+($B$7+(E$43-$B$7)*4/5))*(1+($B$7+(E$43-$B$7)*5/5)))*$B$8)*(1+E$43))/($B$47-E$43))/(1+$B$47)^5))-$B$19+$B$18)/$B$20</f>
        <v/>
      </c>
      <c r="F47" s="20">
        <f>((((($F$12*(1+($B$7+(F$43-$B$7)*1/5)))*$B$8)/(1+$B$47)^1)+((($F$12*(1+($B$7+(F$43-$B$7)*1/5))*(1+($B$7+(F$43-$B$7)*2/5)))*$B$8)/(1+$B$47)^2)+((($F$12*(1+($B$7+(F$43-$B$7)*1/5))*(1+($B$7+(F$43-$B$7)*2/5))*(1+($B$7+(F$43-$B$7)*3/5)))*$B$8)/(1+$B$47)^3)+((($F$12*(1+($B$7+(F$43-$B$7)*1/5))*(1+($B$7+(F$43-$B$7)*2/5))*(1+($B$7+(F$43-$B$7)*3/5))*(1+($B$7+(F$43-$B$7)*4/5)))*$B$8)/(1+$B$47)^4)+((($F$12*(1+($B$7+(F$43-$B$7)*1/5))*(1+($B$7+(F$43-$B$7)*2/5))*(1+($B$7+(F$43-$B$7)*3/5))*(1+($B$7+(F$43-$B$7)*4/5))*(1+($B$7+(F$43-$B$7)*5/5)))*$B$8)/(1+$B$47)^5)+((((($F$12*(1+($B$7+(F$43-$B$7)*1/5))*(1+($B$7+(F$43-$B$7)*2/5))*(1+($B$7+(F$43-$B$7)*3/5))*(1+($B$7+(F$43-$B$7)*4/5))*(1+($B$7+(F$43-$B$7)*5/5)))*$B$8)*(1+F$43))/($B$47-F$43))/(1+$B$47)^5))-$B$19+$B$18)/$B$20</f>
        <v/>
      </c>
      <c r="G47" s="20">
        <f>((((($F$12*(1+($B$7+(G$43-$B$7)*1/5)))*$B$8)/(1+$B$47)^1)+((($F$12*(1+($B$7+(G$43-$B$7)*1/5))*(1+($B$7+(G$43-$B$7)*2/5)))*$B$8)/(1+$B$47)^2)+((($F$12*(1+($B$7+(G$43-$B$7)*1/5))*(1+($B$7+(G$43-$B$7)*2/5))*(1+($B$7+(G$43-$B$7)*3/5)))*$B$8)/(1+$B$47)^3)+((($F$12*(1+($B$7+(G$43-$B$7)*1/5))*(1+($B$7+(G$43-$B$7)*2/5))*(1+($B$7+(G$43-$B$7)*3/5))*(1+($B$7+(G$43-$B$7)*4/5)))*$B$8)/(1+$B$47)^4)+((($F$12*(1+($B$7+(G$43-$B$7)*1/5))*(1+($B$7+(G$43-$B$7)*2/5))*(1+($B$7+(G$43-$B$7)*3/5))*(1+($B$7+(G$43-$B$7)*4/5))*(1+($B$7+(G$43-$B$7)*5/5)))*$B$8)/(1+$B$47)^5)+((((($F$12*(1+($B$7+(G$43-$B$7)*1/5))*(1+($B$7+(G$43-$B$7)*2/5))*(1+($B$7+(G$43-$B$7)*3/5))*(1+($B$7+(G$43-$B$7)*4/5))*(1+($B$7+(G$43-$B$7)*5/5)))*$B$8)*(1+G$43))/($B$47-G$43))/(1+$B$47)^5))-$B$19+$B$18)/$B$20</f>
        <v/>
      </c>
    </row>
    <row r="48">
      <c r="B48" s="19" t="n">
        <v>0.12</v>
      </c>
      <c r="C48" s="20">
        <f>((((($F$12*(1+($B$7+(C$43-$B$7)*1/5)))*$B$8)/(1+$B$48)^1)+((($F$12*(1+($B$7+(C$43-$B$7)*1/5))*(1+($B$7+(C$43-$B$7)*2/5)))*$B$8)/(1+$B$48)^2)+((($F$12*(1+($B$7+(C$43-$B$7)*1/5))*(1+($B$7+(C$43-$B$7)*2/5))*(1+($B$7+(C$43-$B$7)*3/5)))*$B$8)/(1+$B$48)^3)+((($F$12*(1+($B$7+(C$43-$B$7)*1/5))*(1+($B$7+(C$43-$B$7)*2/5))*(1+($B$7+(C$43-$B$7)*3/5))*(1+($B$7+(C$43-$B$7)*4/5)))*$B$8)/(1+$B$48)^4)+((($F$12*(1+($B$7+(C$43-$B$7)*1/5))*(1+($B$7+(C$43-$B$7)*2/5))*(1+($B$7+(C$43-$B$7)*3/5))*(1+($B$7+(C$43-$B$7)*4/5))*(1+($B$7+(C$43-$B$7)*5/5)))*$B$8)/(1+$B$48)^5)+((((($F$12*(1+($B$7+(C$43-$B$7)*1/5))*(1+($B$7+(C$43-$B$7)*2/5))*(1+($B$7+(C$43-$B$7)*3/5))*(1+($B$7+(C$43-$B$7)*4/5))*(1+($B$7+(C$43-$B$7)*5/5)))*$B$8)*(1+C$43))/($B$48-C$43))/(1+$B$48)^5))-$B$19+$B$18)/$B$20</f>
        <v/>
      </c>
      <c r="D48" s="20">
        <f>((((($F$12*(1+($B$7+(D$43-$B$7)*1/5)))*$B$8)/(1+$B$48)^1)+((($F$12*(1+($B$7+(D$43-$B$7)*1/5))*(1+($B$7+(D$43-$B$7)*2/5)))*$B$8)/(1+$B$48)^2)+((($F$12*(1+($B$7+(D$43-$B$7)*1/5))*(1+($B$7+(D$43-$B$7)*2/5))*(1+($B$7+(D$43-$B$7)*3/5)))*$B$8)/(1+$B$48)^3)+((($F$12*(1+($B$7+(D$43-$B$7)*1/5))*(1+($B$7+(D$43-$B$7)*2/5))*(1+($B$7+(D$43-$B$7)*3/5))*(1+($B$7+(D$43-$B$7)*4/5)))*$B$8)/(1+$B$48)^4)+((($F$12*(1+($B$7+(D$43-$B$7)*1/5))*(1+($B$7+(D$43-$B$7)*2/5))*(1+($B$7+(D$43-$B$7)*3/5))*(1+($B$7+(D$43-$B$7)*4/5))*(1+($B$7+(D$43-$B$7)*5/5)))*$B$8)/(1+$B$48)^5)+((((($F$12*(1+($B$7+(D$43-$B$7)*1/5))*(1+($B$7+(D$43-$B$7)*2/5))*(1+($B$7+(D$43-$B$7)*3/5))*(1+($B$7+(D$43-$B$7)*4/5))*(1+($B$7+(D$43-$B$7)*5/5)))*$B$8)*(1+D$43))/($B$48-D$43))/(1+$B$48)^5))-$B$19+$B$18)/$B$20</f>
        <v/>
      </c>
      <c r="E48" s="20">
        <f>((((($F$12*(1+($B$7+(E$43-$B$7)*1/5)))*$B$8)/(1+$B$48)^1)+((($F$12*(1+($B$7+(E$43-$B$7)*1/5))*(1+($B$7+(E$43-$B$7)*2/5)))*$B$8)/(1+$B$48)^2)+((($F$12*(1+($B$7+(E$43-$B$7)*1/5))*(1+($B$7+(E$43-$B$7)*2/5))*(1+($B$7+(E$43-$B$7)*3/5)))*$B$8)/(1+$B$48)^3)+((($F$12*(1+($B$7+(E$43-$B$7)*1/5))*(1+($B$7+(E$43-$B$7)*2/5))*(1+($B$7+(E$43-$B$7)*3/5))*(1+($B$7+(E$43-$B$7)*4/5)))*$B$8)/(1+$B$48)^4)+((($F$12*(1+($B$7+(E$43-$B$7)*1/5))*(1+($B$7+(E$43-$B$7)*2/5))*(1+($B$7+(E$43-$B$7)*3/5))*(1+($B$7+(E$43-$B$7)*4/5))*(1+($B$7+(E$43-$B$7)*5/5)))*$B$8)/(1+$B$48)^5)+((((($F$12*(1+($B$7+(E$43-$B$7)*1/5))*(1+($B$7+(E$43-$B$7)*2/5))*(1+($B$7+(E$43-$B$7)*3/5))*(1+($B$7+(E$43-$B$7)*4/5))*(1+($B$7+(E$43-$B$7)*5/5)))*$B$8)*(1+E$43))/($B$48-E$43))/(1+$B$48)^5))-$B$19+$B$18)/$B$20</f>
        <v/>
      </c>
      <c r="F48" s="20">
        <f>((((($F$12*(1+($B$7+(F$43-$B$7)*1/5)))*$B$8)/(1+$B$48)^1)+((($F$12*(1+($B$7+(F$43-$B$7)*1/5))*(1+($B$7+(F$43-$B$7)*2/5)))*$B$8)/(1+$B$48)^2)+((($F$12*(1+($B$7+(F$43-$B$7)*1/5))*(1+($B$7+(F$43-$B$7)*2/5))*(1+($B$7+(F$43-$B$7)*3/5)))*$B$8)/(1+$B$48)^3)+((($F$12*(1+($B$7+(F$43-$B$7)*1/5))*(1+($B$7+(F$43-$B$7)*2/5))*(1+($B$7+(F$43-$B$7)*3/5))*(1+($B$7+(F$43-$B$7)*4/5)))*$B$8)/(1+$B$48)^4)+((($F$12*(1+($B$7+(F$43-$B$7)*1/5))*(1+($B$7+(F$43-$B$7)*2/5))*(1+($B$7+(F$43-$B$7)*3/5))*(1+($B$7+(F$43-$B$7)*4/5))*(1+($B$7+(F$43-$B$7)*5/5)))*$B$8)/(1+$B$48)^5)+((((($F$12*(1+($B$7+(F$43-$B$7)*1/5))*(1+($B$7+(F$43-$B$7)*2/5))*(1+($B$7+(F$43-$B$7)*3/5))*(1+($B$7+(F$43-$B$7)*4/5))*(1+($B$7+(F$43-$B$7)*5/5)))*$B$8)*(1+F$43))/($B$48-F$43))/(1+$B$48)^5))-$B$19+$B$18)/$B$20</f>
        <v/>
      </c>
      <c r="G48" s="20">
        <f>((((($F$12*(1+($B$7+(G$43-$B$7)*1/5)))*$B$8)/(1+$B$48)^1)+((($F$12*(1+($B$7+(G$43-$B$7)*1/5))*(1+($B$7+(G$43-$B$7)*2/5)))*$B$8)/(1+$B$48)^2)+((($F$12*(1+($B$7+(G$43-$B$7)*1/5))*(1+($B$7+(G$43-$B$7)*2/5))*(1+($B$7+(G$43-$B$7)*3/5)))*$B$8)/(1+$B$48)^3)+((($F$12*(1+($B$7+(G$43-$B$7)*1/5))*(1+($B$7+(G$43-$B$7)*2/5))*(1+($B$7+(G$43-$B$7)*3/5))*(1+($B$7+(G$43-$B$7)*4/5)))*$B$8)/(1+$B$48)^4)+((($F$12*(1+($B$7+(G$43-$B$7)*1/5))*(1+($B$7+(G$43-$B$7)*2/5))*(1+($B$7+(G$43-$B$7)*3/5))*(1+($B$7+(G$43-$B$7)*4/5))*(1+($B$7+(G$43-$B$7)*5/5)))*$B$8)/(1+$B$48)^5)+((((($F$12*(1+($B$7+(G$43-$B$7)*1/5))*(1+($B$7+(G$43-$B$7)*2/5))*(1+($B$7+(G$43-$B$7)*3/5))*(1+($B$7+(G$43-$B$7)*4/5))*(1+($B$7+(G$43-$B$7)*5/5)))*$B$8)*(1+G$43))/($B$48-G$43))/(1+$B$48)^5))-$B$19+$B$18)/$B$20</f>
        <v/>
      </c>
    </row>
    <row r="50">
      <c r="A50" s="3" t="inlineStr">
        <is>
          <t>Tornado Inputs (other variable held at its base case)</t>
        </is>
      </c>
      <c r="B50" s="12" t="n"/>
      <c r="C50" s="12" t="n"/>
      <c r="D50" s="12" t="n"/>
      <c r="E50" s="12" t="n"/>
      <c r="F50" s="12" t="n"/>
      <c r="G50" s="12" t="n"/>
    </row>
    <row r="51">
      <c r="A51" s="17" t="inlineStr">
        <is>
          <t>Factor</t>
        </is>
      </c>
      <c r="B51" s="17" t="inlineStr">
        <is>
          <t>Low</t>
        </is>
      </c>
      <c r="C51" s="17" t="inlineStr">
        <is>
          <t>High</t>
        </is>
      </c>
      <c r="D51" s="17" t="inlineStr">
        <is>
          <t>Base (chart helper)</t>
        </is>
      </c>
      <c r="E51" s="17" t="inlineStr">
        <is>
          <t>Span (chart helper)</t>
        </is>
      </c>
    </row>
    <row r="52">
      <c r="A52" s="4" t="inlineStr">
        <is>
          <t>WACC (8% → 12%)</t>
        </is>
      </c>
      <c r="B52" s="8">
        <f>E44</f>
        <v/>
      </c>
      <c r="C52" s="8">
        <f>E48</f>
        <v/>
      </c>
      <c r="D52" s="8">
        <f>MIN(B52,C52)</f>
        <v/>
      </c>
      <c r="E52" s="8">
        <f>ABS(C52-B52)</f>
        <v/>
      </c>
    </row>
    <row r="53">
      <c r="A53" s="4" t="inlineStr">
        <is>
          <t>Terminal growth (2% → 4%)</t>
        </is>
      </c>
      <c r="B53" s="8">
        <f>C46</f>
        <v/>
      </c>
      <c r="C53" s="8">
        <f>G46</f>
        <v/>
      </c>
      <c r="D53" s="8">
        <f>MIN(B53,C53)</f>
        <v/>
      </c>
      <c r="E53" s="8">
        <f>ABS(C53-B53)</f>
        <v/>
      </c>
    </row>
  </sheetData>
  <conditionalFormatting sqref="C44:G4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2026-07-30T21:50:57Z</dcterms:created>
  <dcterms:modified xsi:type="dcterms:W3CDTF">2026-07-30T21:50:57Z</dcterms:modified>
</cp:coreProperties>
</file>